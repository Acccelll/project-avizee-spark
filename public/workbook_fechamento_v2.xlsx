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sultado" sheetId="2" state="visible" r:id="rId2"/>
    <sheet xmlns:r="http://schemas.openxmlformats.org/officeDocument/2006/relationships" name="Faturamento" sheetId="3" state="visible" r:id="rId3"/>
    <sheet xmlns:r="http://schemas.openxmlformats.org/officeDocument/2006/relationships" name="Caixa" sheetId="4" state="visible" r:id="rId4"/>
    <sheet xmlns:r="http://schemas.openxmlformats.org/officeDocument/2006/relationships" name="Despesas" sheetId="5" state="visible" r:id="rId5"/>
    <sheet xmlns:r="http://schemas.openxmlformats.org/officeDocument/2006/relationships" name="Clientes" sheetId="6" state="visible" r:id="rId6"/>
    <sheet xmlns:r="http://schemas.openxmlformats.org/officeDocument/2006/relationships" name="Estados" sheetId="7" state="visible" r:id="rId7"/>
    <sheet xmlns:r="http://schemas.openxmlformats.org/officeDocument/2006/relationships" name="Capital de giro" sheetId="8" state="visible" r:id="rId8"/>
    <sheet xmlns:r="http://schemas.openxmlformats.org/officeDocument/2006/relationships" name="Estoque" sheetId="9" state="visible" r:id="rId9"/>
    <sheet xmlns:r="http://schemas.openxmlformats.org/officeDocument/2006/relationships" name="Sócios" sheetId="10" state="visible" r:id="rId10"/>
    <sheet xmlns:r="http://schemas.openxmlformats.org/officeDocument/2006/relationships" name="Redes" sheetId="11" state="visible" r:id="rId11"/>
    <sheet xmlns:r="http://schemas.openxmlformats.org/officeDocument/2006/relationships" name="Dados" sheetId="12" state="visible" r:id="rId12"/>
  </sheets>
  <definedNames>
    <definedName name="_xlnm.Print_Area" localSheetId="0">'Resumo'!$A$1:$I$41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#,##0;[Red](#,##0);&quot;–&quot;"/>
    <numFmt numFmtId="166" formatCode="0.0%;[Red]-0.0%;&quot;–&quot;"/>
    <numFmt numFmtId="167" formatCode="#,##0;[Red]-#,##0;&quot;–&quot;"/>
    <numFmt numFmtId="168" formatCode="0.0;[Red]-0.0;&quot;–&quot;"/>
    <numFmt numFmtId="169" formatCode="mmm/yy"/>
    <numFmt numFmtId="170" formatCode="#,##0.00;[Red]-#,##0.00;&quot;–&quot;"/>
  </numFmts>
  <fonts count="16">
    <font>
      <name val="Calibri"/>
      <family val="2"/>
      <color theme="1"/>
      <sz val="11"/>
      <scheme val="minor"/>
    </font>
    <font>
      <name val="Montserrat"/>
      <color rgb="001B1411"/>
      <sz val="9"/>
    </font>
    <font>
      <name val="Montserrat"/>
      <b val="1"/>
      <color rgb="00690500"/>
      <sz val="16"/>
    </font>
    <font>
      <name val="Montserrat"/>
      <b val="1"/>
      <color rgb="00B2592C"/>
      <sz val="10"/>
    </font>
    <font>
      <name val="Montserrat"/>
      <b val="1"/>
      <color rgb="00B2592C"/>
      <sz val="12"/>
    </font>
    <font>
      <name val="Montserrat"/>
      <color rgb="008A7E73"/>
      <sz val="9"/>
    </font>
    <font>
      <name val="Montserrat"/>
      <b val="1"/>
      <color rgb="008A7E73"/>
      <sz val="8"/>
    </font>
    <font>
      <name val="Montserrat"/>
      <b val="1"/>
      <color rgb="00690500"/>
      <sz val="18"/>
    </font>
    <font>
      <name val="Montserrat"/>
      <color rgb="008A7E73"/>
      <sz val="8"/>
    </font>
    <font>
      <name val="Montserrat"/>
      <b val="1"/>
      <color rgb="001B1411"/>
      <sz val="8"/>
    </font>
    <font>
      <name val="Montserrat"/>
      <b val="1"/>
      <color rgb="00FFFFFF"/>
      <sz val="9"/>
    </font>
    <font>
      <name val="Montserrat"/>
      <b val="1"/>
      <color rgb="00690500"/>
      <sz val="9"/>
      <u val="single"/>
    </font>
    <font>
      <name val="Montserrat"/>
      <i val="1"/>
      <color rgb="008A7E73"/>
      <sz val="8"/>
    </font>
    <font>
      <name val="Montserrat"/>
      <b val="1"/>
      <color rgb="00690500"/>
      <sz val="9"/>
    </font>
    <font>
      <name val="Montserrat"/>
      <b val="1"/>
      <color rgb="001B1411"/>
      <sz val="9"/>
    </font>
    <font>
      <name val="Montserrat"/>
      <color rgb="00B3261E"/>
      <sz val="9"/>
    </font>
  </fonts>
  <fills count="5">
    <fill>
      <patternFill/>
    </fill>
    <fill>
      <patternFill patternType="gray125"/>
    </fill>
    <fill>
      <patternFill patternType="solid">
        <fgColor rgb="00FFFAED"/>
        <bgColor rgb="00FFFAED"/>
      </patternFill>
    </fill>
    <fill>
      <patternFill patternType="solid">
        <fgColor rgb="00690500"/>
        <bgColor rgb="00690500"/>
      </patternFill>
    </fill>
    <fill>
      <patternFill patternType="solid">
        <fgColor rgb="00DDD2C4"/>
        <bgColor rgb="00DDD2C4"/>
      </patternFill>
    </fill>
  </fills>
  <borders count="7">
    <border>
      <left/>
      <right/>
      <top/>
      <bottom/>
      <diagonal/>
    </border>
    <border>
      <top style="thick">
        <color rgb="00690500"/>
      </top>
    </border>
    <border>
      <right style="thick">
        <color rgb="00FFFFFF"/>
      </right>
      <top style="thick">
        <color rgb="00690500"/>
      </top>
    </border>
    <border>
      <right style="thick">
        <color rgb="00FFFFFF"/>
      </right>
      <top/>
    </border>
    <border>
      <bottom style="thin">
        <color rgb="00E4DCD2"/>
      </bottom>
    </border>
    <border>
      <top style="medium">
        <color rgb="00690500"/>
      </top>
      <bottom style="thin">
        <color rgb="00E4DCD2"/>
      </bottom>
    </border>
    <border>
      <bottom style="thin">
        <color rgb="008A7E73"/>
      </bottom>
    </border>
  </borders>
  <cellStyleXfs count="1">
    <xf numFmtId="0" fontId="1" fillId="0" borderId="0"/>
  </cellStyleXfs>
  <cellXfs count="5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0" fontId="5" fillId="0" borderId="0" pivotButton="0" quotePrefix="0" xfId="0"/>
    <xf numFmtId="164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6" fillId="2" borderId="1" pivotButton="0" quotePrefix="0" xfId="0"/>
    <xf numFmtId="0" fontId="6" fillId="2" borderId="2" pivotButton="0" quotePrefix="0" xfId="0"/>
    <xf numFmtId="165" fontId="7" fillId="2" borderId="0" applyAlignment="1" pivotButton="0" quotePrefix="0" xfId="0">
      <alignment horizontal="left"/>
    </xf>
    <xf numFmtId="165" fontId="7" fillId="2" borderId="3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66" fontId="9" fillId="2" borderId="3" applyAlignment="1" pivotButton="0" quotePrefix="0" xfId="0">
      <alignment horizontal="right"/>
    </xf>
    <xf numFmtId="165" fontId="9" fillId="2" borderId="3" applyAlignment="1" pivotButton="0" quotePrefix="0" xfId="0">
      <alignment horizontal="right"/>
    </xf>
    <xf numFmtId="167" fontId="9" fillId="2" borderId="3" applyAlignment="1" pivotButton="0" quotePrefix="0" xfId="0">
      <alignment horizontal="right"/>
    </xf>
    <xf numFmtId="0" fontId="8" fillId="2" borderId="3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indent="1"/>
    </xf>
    <xf numFmtId="0" fontId="1" fillId="0" borderId="4" applyAlignment="1" pivotButton="0" quotePrefix="0" xfId="0">
      <alignment horizontal="center"/>
    </xf>
    <xf numFmtId="165" fontId="1" fillId="0" borderId="4" applyAlignment="1" pivotButton="0" quotePrefix="0" xfId="0">
      <alignment horizontal="right" vertical="center"/>
    </xf>
    <xf numFmtId="167" fontId="1" fillId="0" borderId="4" applyAlignment="1" pivotButton="0" quotePrefix="0" xfId="0">
      <alignment horizontal="right"/>
    </xf>
    <xf numFmtId="0" fontId="11" fillId="0" borderId="4" applyAlignment="1" pivotButton="0" quotePrefix="0" xfId="0">
      <alignment indent="1"/>
    </xf>
    <xf numFmtId="0" fontId="12" fillId="0" borderId="0" applyAlignment="1" pivotButton="0" quotePrefix="0" xfId="0">
      <alignment/>
    </xf>
    <xf numFmtId="0" fontId="2" fillId="0" borderId="0" pivotButton="0" quotePrefix="0" xfId="0"/>
    <xf numFmtId="1" fontId="10" fillId="3" borderId="0" applyAlignment="1" pivotButton="0" quotePrefix="0" xfId="0">
      <alignment horizontal="center" vertical="center" wrapText="1"/>
    </xf>
    <xf numFmtId="0" fontId="13" fillId="2" borderId="5" applyAlignment="1" pivotButton="0" quotePrefix="0" xfId="0">
      <alignment indent="1"/>
    </xf>
    <xf numFmtId="165" fontId="13" fillId="2" borderId="5" applyAlignment="1" pivotButton="0" quotePrefix="0" xfId="0">
      <alignment horizontal="right"/>
    </xf>
    <xf numFmtId="0" fontId="5" fillId="0" borderId="4" applyAlignment="1" pivotButton="0" quotePrefix="0" xfId="0">
      <alignment vertical="center" indent="2"/>
    </xf>
    <xf numFmtId="165" fontId="5" fillId="0" borderId="4" applyAlignment="1" pivotButton="0" quotePrefix="0" xfId="0">
      <alignment horizontal="right"/>
    </xf>
    <xf numFmtId="166" fontId="5" fillId="0" borderId="4" applyAlignment="1" pivotButton="0" quotePrefix="0" xfId="0">
      <alignment horizontal="right"/>
    </xf>
    <xf numFmtId="1" fontId="1" fillId="0" borderId="4" applyAlignment="1" pivotButton="0" quotePrefix="0" xfId="0">
      <alignment horizontal="left" indent="1"/>
    </xf>
    <xf numFmtId="1" fontId="13" fillId="2" borderId="5" applyAlignment="1" pivotButton="0" quotePrefix="0" xfId="0">
      <alignment horizontal="left" indent="1"/>
    </xf>
    <xf numFmtId="0" fontId="14" fillId="0" borderId="4" applyAlignment="1" pivotButton="0" quotePrefix="0" xfId="0">
      <alignment vertical="center" indent="1"/>
    </xf>
    <xf numFmtId="168" fontId="5" fillId="0" borderId="4" applyAlignment="1" pivotButton="0" quotePrefix="0" xfId="0">
      <alignment horizontal="right"/>
    </xf>
    <xf numFmtId="166" fontId="13" fillId="2" borderId="5" applyAlignment="1" pivotButton="0" quotePrefix="0" xfId="0">
      <alignment horizontal="right"/>
    </xf>
    <xf numFmtId="0" fontId="1" fillId="0" borderId="4" applyAlignment="1" pivotButton="0" quotePrefix="0" xfId="0">
      <alignment vertical="center" shrinkToFit="1" indent="1"/>
    </xf>
    <xf numFmtId="0" fontId="5" fillId="0" borderId="4" applyAlignment="1" pivotButton="0" quotePrefix="0" xfId="0">
      <alignment horizontal="center"/>
    </xf>
    <xf numFmtId="0" fontId="15" fillId="0" borderId="4" applyAlignment="1" pivotButton="0" quotePrefix="0" xfId="0">
      <alignment vertical="center" indent="1"/>
    </xf>
    <xf numFmtId="165" fontId="14" fillId="0" borderId="4" applyAlignment="1" pivotButton="0" quotePrefix="0" xfId="0">
      <alignment horizontal="right" vertical="center"/>
    </xf>
    <xf numFmtId="0" fontId="13" fillId="2" borderId="4" applyAlignment="1" pivotButton="0" quotePrefix="0" xfId="0">
      <alignment vertical="center" indent="1"/>
    </xf>
    <xf numFmtId="165" fontId="13" fillId="2" borderId="4" applyAlignment="1" pivotButton="0" quotePrefix="0" xfId="0">
      <alignment horizontal="right" vertical="center"/>
    </xf>
    <xf numFmtId="165" fontId="13" fillId="2" borderId="4" applyAlignment="1" pivotButton="0" quotePrefix="0" xfId="0">
      <alignment horizontal="right"/>
    </xf>
    <xf numFmtId="168" fontId="13" fillId="2" borderId="4" applyAlignment="1" pivotButton="0" quotePrefix="0" xfId="0">
      <alignment horizontal="right"/>
    </xf>
    <xf numFmtId="167" fontId="5" fillId="0" borderId="4" applyAlignment="1" pivotButton="0" quotePrefix="0" xfId="0">
      <alignment horizontal="right"/>
    </xf>
    <xf numFmtId="0" fontId="14" fillId="4" borderId="6" applyAlignment="1" pivotButton="0" quotePrefix="0" xfId="0">
      <alignment horizontal="center" vertical="center" wrapText="1"/>
    </xf>
    <xf numFmtId="169" fontId="1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170" fontId="1" fillId="0" borderId="0" pivotButton="0" quotePrefix="0" xfId="0"/>
    <xf numFmtId="167" fontId="1" fillId="0" borderId="0" pivotButton="0" quotePrefix="0" xfId="0"/>
    <xf numFmtId="164" fontId="1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dxfs count="6">
    <dxf>
      <font>
        <b val="1"/>
        <color rgb="004F7A46"/>
      </font>
    </dxf>
    <dxf>
      <font>
        <b val="1"/>
        <color rgb="00FFFFFF"/>
      </font>
      <fill>
        <patternFill patternType="solid">
          <fgColor rgb="00B2592C"/>
          <bgColor rgb="00B2592C"/>
        </patternFill>
      </fill>
    </dxf>
    <dxf>
      <font>
        <b val="1"/>
        <color rgb="00B2592C"/>
      </font>
      <fill>
        <patternFill patternType="solid">
          <fgColor rgb="00FFFAED"/>
          <bgColor rgb="00FFFAED"/>
        </patternFill>
      </fill>
    </dxf>
    <dxf>
      <fill>
        <patternFill patternType="solid">
          <fgColor rgb="00FFFAED"/>
          <bgColor rgb="00FFFAED"/>
        </patternFill>
      </fill>
    </dxf>
    <dxf>
      <font>
        <b val="1"/>
        <color rgb="00690500"/>
      </font>
    </dxf>
    <dxf>
      <font>
        <i val="1"/>
        <color rgb="008A7E7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690500"/>
                </a:solidFill>
                <a:latin typeface="Montserrat"/>
              </a:defRPr>
            </a:pPr>
            <a:r>
              <a:t>Recebido × pago e resultado acumulado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'Resultado'!$B$5</f>
            </strRef>
          </tx>
          <spPr>
            <a:solidFill xmlns:a="http://schemas.openxmlformats.org/drawingml/2006/main">
              <a:srgbClr val="6905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'Resultado'!$C$4:$N$4</f>
            </strRef>
          </cat>
          <val>
            <numRef>
              <f>'Resultado'!$C$5:$N$5</f>
            </numRef>
          </val>
        </ser>
        <ser>
          <idx val="1"/>
          <order val="1"/>
          <tx>
            <strRef>
              <f>'Resultado'!$B$6</f>
            </strRef>
          </tx>
          <spPr>
            <a:solidFill xmlns:a="http://schemas.openxmlformats.org/drawingml/2006/main">
              <a:srgbClr val="D08A6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'Resultado'!$C$4:$N$4</f>
            </strRef>
          </cat>
          <val>
            <numRef>
              <f>'Resultado'!$C$6:$N$6</f>
            </numRef>
          </val>
        </ser>
        <gapWidth val="60"/>
        <overlap val="100"/>
        <axId val="10"/>
        <axId val="100"/>
      </barChart>
      <lineChart>
        <grouping val="standard"/>
        <ser>
          <idx val="2"/>
          <order val="2"/>
          <tx>
            <strRef>
              <f>'Resultado'!$B$8</f>
            </strRef>
          </tx>
          <spPr>
            <a:ln xmlns:a="http://schemas.openxmlformats.org/drawingml/2006/main" w="28000">
              <a:solidFill>
                <a:srgbClr val="1B141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B1411"/>
              </a:solidFill>
              <a:ln xmlns:a="http://schemas.openxmlformats.org/drawingml/2006/main">
                <a:solidFill>
                  <a:srgbClr val="1B1411"/>
                </a:solidFill>
                <a:prstDash val="solid"/>
              </a:ln>
            </spPr>
          </marker>
          <cat>
            <strRef>
              <f>'Resultado'!$C$4:$N$4</f>
            </strRef>
          </cat>
          <val>
            <numRef>
              <f>'Resultado'!$C$90:$N$90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DDD2C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DCD2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A7E73"/>
              </a:solidFill>
              <a:latin typeface="Montserrat"/>
            </a:defRPr>
          </a:pPr>
          <a:r>
            <a:t/>
          </a:r>
          <a:endParaRPr sz="800" b="0">
            <a:solidFill>
              <a:srgbClr val="8A7E73"/>
            </a:solidFill>
            <a:latin typeface="Montserrat"/>
          </a:endParaRPr>
        </a:p>
      </txPr>
    </legend>
    <plotVisOnly val="0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690500"/>
                </a:solidFill>
                <a:latin typeface="Montserrat"/>
              </a:defRPr>
            </a:pPr>
            <a:r>
              <a:t>Faturamento por mês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'Faturamento'!$B$6</f>
            </strRef>
          </tx>
          <spPr>
            <a:solidFill xmlns:a="http://schemas.openxmlformats.org/drawingml/2006/main">
              <a:srgbClr val="DDD2C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'Faturamento'!$C$4:$N$4</f>
            </strRef>
          </cat>
          <val>
            <numRef>
              <f>'Faturamento'!$C$6:$N$6</f>
            </numRef>
          </val>
        </ser>
        <ser>
          <idx val="1"/>
          <order val="1"/>
          <tx>
            <strRef>
              <f>'Faturamento'!$B$7</f>
            </strRef>
          </tx>
          <spPr>
            <a:solidFill xmlns:a="http://schemas.openxmlformats.org/drawingml/2006/main">
              <a:srgbClr val="6905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'Faturamento'!$C$4:$N$4</f>
            </strRef>
          </cat>
          <val>
            <numRef>
              <f>'Faturamento'!$C$7:$N$7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DD2C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DCD2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A7E73"/>
              </a:solidFill>
              <a:latin typeface="Montserrat"/>
            </a:defRPr>
          </a:pPr>
          <a:r>
            <a:t/>
          </a:r>
          <a:endParaRPr sz="800" b="0">
            <a:solidFill>
              <a:srgbClr val="8A7E73"/>
            </a:solidFill>
            <a:latin typeface="Montserrat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690500"/>
                </a:solidFill>
                <a:latin typeface="Montserrat"/>
              </a:defRPr>
            </a:pPr>
            <a:r>
              <a:t>Acumulado × meta × limite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'Faturamento'!$B$11</f>
            </strRef>
          </tx>
          <spPr>
            <a:ln xmlns:a="http://schemas.openxmlformats.org/drawingml/2006/main" w="28000">
              <a:solidFill>
                <a:srgbClr val="6905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690500"/>
              </a:solidFill>
              <a:ln xmlns:a="http://schemas.openxmlformats.org/drawingml/2006/main">
                <a:solidFill>
                  <a:srgbClr val="690500"/>
                </a:solidFill>
                <a:prstDash val="solid"/>
              </a:ln>
            </spPr>
          </marker>
          <cat>
            <strRef>
              <f>'Faturamento'!$C$4:$N$4</f>
            </strRef>
          </cat>
          <val>
            <numRef>
              <f>'Faturamento'!$C$90:$N$90</f>
            </numRef>
          </val>
          <smooth val="0"/>
        </ser>
        <ser>
          <idx val="1"/>
          <order val="1"/>
          <tx>
            <strRef>
              <f>'Faturamento'!$B$13</f>
            </strRef>
          </tx>
          <spPr>
            <a:ln xmlns:a="http://schemas.openxmlformats.org/drawingml/2006/main" w="28000">
              <a:solidFill>
                <a:srgbClr val="D08A63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08A63"/>
              </a:solidFill>
              <a:ln xmlns:a="http://schemas.openxmlformats.org/drawingml/2006/main">
                <a:solidFill>
                  <a:srgbClr val="D08A63"/>
                </a:solidFill>
                <a:prstDash val="solid"/>
              </a:ln>
            </spPr>
          </marker>
          <cat>
            <strRef>
              <f>'Faturamento'!$C$4:$N$4</f>
            </strRef>
          </cat>
          <val>
            <numRef>
              <f>'Faturamento'!$C$13:$N$13</f>
            </numRef>
          </val>
          <smooth val="0"/>
        </ser>
        <ser>
          <idx val="2"/>
          <order val="2"/>
          <tx>
            <strRef>
              <f>'Faturamento'!$B$15</f>
            </strRef>
          </tx>
          <spPr>
            <a:ln xmlns:a="http://schemas.openxmlformats.org/drawingml/2006/main" w="28000">
              <a:solidFill>
                <a:srgbClr val="DDD2C4"/>
              </a:solidFill>
              <a:prstDash val="dash"/>
            </a:ln>
          </spPr>
          <marker>
            <symbol val="none"/>
            <size val="5"/>
            <spPr>
              <a:solidFill xmlns:a="http://schemas.openxmlformats.org/drawingml/2006/main">
                <a:srgbClr val="DDD2C4"/>
              </a:solidFill>
              <a:ln xmlns:a="http://schemas.openxmlformats.org/drawingml/2006/main">
                <a:solidFill>
                  <a:srgbClr val="DDD2C4"/>
                </a:solidFill>
                <a:prstDash val="solid"/>
              </a:ln>
            </spPr>
          </marker>
          <cat>
            <strRef>
              <f>'Faturamento'!$C$4:$N$4</f>
            </strRef>
          </cat>
          <val>
            <numRef>
              <f>'Faturamento'!$C$15:$N$15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DD2C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DCD2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A7E73"/>
              </a:solidFill>
              <a:latin typeface="Montserrat"/>
            </a:defRPr>
          </a:pPr>
          <a:r>
            <a:t/>
          </a:r>
          <a:endParaRPr sz="800" b="0">
            <a:solidFill>
              <a:srgbClr val="8A7E73"/>
            </a:solidFill>
            <a:latin typeface="Montserrat"/>
          </a:endParaRPr>
        </a:p>
      </txPr>
    </legend>
    <plotVisOnly val="0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690500"/>
                </a:solidFill>
                <a:latin typeface="Montserrat"/>
              </a:defRPr>
            </a:pPr>
            <a:r>
              <a:t>Caixa no fim do mês: disponível e bloqueado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'Caixa'!$B$12</f>
            </strRef>
          </tx>
          <spPr>
            <a:solidFill xmlns:a="http://schemas.openxmlformats.org/drawingml/2006/main">
              <a:srgbClr val="6905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'Caixa'!$C$4:$N$4</f>
            </strRef>
          </cat>
          <val>
            <numRef>
              <f>'Caixa'!$C$12:$N$12</f>
            </numRef>
          </val>
        </ser>
        <ser>
          <idx val="1"/>
          <order val="1"/>
          <tx>
            <strRef>
              <f>'Caixa'!$B$11</f>
            </strRef>
          </tx>
          <spPr>
            <a:solidFill xmlns:a="http://schemas.openxmlformats.org/drawingml/2006/main">
              <a:srgbClr val="ECC6AC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'Caixa'!$C$4:$N$4</f>
            </strRef>
          </cat>
          <val>
            <numRef>
              <f>'Caixa'!$C$11:$N$11</f>
            </numRef>
          </val>
        </ser>
        <gapWidth val="50"/>
        <overlap val="100"/>
        <axId val="10"/>
        <axId val="100"/>
      </barChart>
      <lineChart>
        <grouping val="standard"/>
        <ser>
          <idx val="2"/>
          <order val="2"/>
          <tx>
            <strRef>
              <f>'Caixa'!$B$14</f>
            </strRef>
          </tx>
          <spPr>
            <a:ln xmlns:a="http://schemas.openxmlformats.org/drawingml/2006/main" w="28000">
              <a:solidFill>
                <a:srgbClr val="8A7E73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8A7E73"/>
              </a:solidFill>
              <a:ln xmlns:a="http://schemas.openxmlformats.org/drawingml/2006/main">
                <a:solidFill>
                  <a:srgbClr val="8A7E73"/>
                </a:solidFill>
                <a:prstDash val="solid"/>
              </a:ln>
            </spPr>
          </marker>
          <cat>
            <strRef>
              <f>'Caixa'!$C$4:$N$4</f>
            </strRef>
          </cat>
          <val>
            <numRef>
              <f>'Caixa'!$C$14:$N$14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DD2C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DCD2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A7E73"/>
              </a:solidFill>
              <a:latin typeface="Montserrat"/>
            </a:defRPr>
          </a:pPr>
          <a:r>
            <a:t/>
          </a:r>
          <a:endParaRPr sz="800" b="0">
            <a:solidFill>
              <a:srgbClr val="8A7E73"/>
            </a:solidFill>
            <a:latin typeface="Montserrat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690500"/>
                </a:solidFill>
                <a:latin typeface="Montserrat"/>
              </a:defRPr>
            </a:pPr>
            <a:r>
              <a:t>Maiores categorias no ano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'Despesas'!$O$4</f>
            </strRef>
          </tx>
          <spPr>
            <a:solidFill xmlns:a="http://schemas.openxmlformats.org/drawingml/2006/main">
              <a:srgbClr val="6905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B1411"/>
                    </a:solidFill>
                    <a:latin typeface="Montserrat"/>
                  </a:defRPr>
                </a:pPr>
                <a:r>
                  <a:t/>
                </a:r>
                <a:endParaRPr sz="800" b="0">
                  <a:solidFill>
                    <a:srgbClr val="1B1411"/>
                  </a:solidFill>
                  <a:latin typeface="Montserrat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'Despesas'!$B$5:$B$14</f>
            </strRef>
          </cat>
          <val>
            <numRef>
              <f>'Despesas'!$O$5:$O$14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DD2C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690500"/>
                </a:solidFill>
                <a:latin typeface="Montserrat"/>
              </a:defRPr>
            </a:pPr>
            <a:r>
              <a:t>Dez maiores clientes no ano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'Clientes'!$O$4</f>
            </strRef>
          </tx>
          <spPr>
            <a:solidFill xmlns:a="http://schemas.openxmlformats.org/drawingml/2006/main">
              <a:srgbClr val="B2592C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B1411"/>
                    </a:solidFill>
                    <a:latin typeface="Montserrat"/>
                  </a:defRPr>
                </a:pPr>
                <a:r>
                  <a:t/>
                </a:r>
                <a:endParaRPr sz="800" b="0">
                  <a:solidFill>
                    <a:srgbClr val="1B1411"/>
                  </a:solidFill>
                  <a:latin typeface="Montserrat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'Clientes'!$B$5:$B$14</f>
            </strRef>
          </cat>
          <val>
            <numRef>
              <f>'Clientes'!$O$5:$O$14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DD2C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690500"/>
                </a:solidFill>
                <a:latin typeface="Montserrat"/>
              </a:defRPr>
            </a:pPr>
            <a:r>
              <a:t>Dez maiores estados no ano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'Estados'!$H$4</f>
            </strRef>
          </tx>
          <spPr>
            <a:solidFill xmlns:a="http://schemas.openxmlformats.org/drawingml/2006/main">
              <a:srgbClr val="B2592C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B1411"/>
                    </a:solidFill>
                    <a:latin typeface="Montserrat"/>
                  </a:defRPr>
                </a:pPr>
                <a:r>
                  <a:t/>
                </a:r>
                <a:endParaRPr sz="800" b="0">
                  <a:solidFill>
                    <a:srgbClr val="1B1411"/>
                  </a:solidFill>
                  <a:latin typeface="Montserrat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'Estados'!$B$5:$B$14</f>
            </strRef>
          </cat>
          <val>
            <numRef>
              <f>'Estados'!$H$5:$H$14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DD2C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690500"/>
                </a:solidFill>
                <a:latin typeface="Montserrat"/>
              </a:defRPr>
            </a:pPr>
            <a:r>
              <a:t>A receber × a pagar no fim do mês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'Capital de giro'!$B$11</f>
            </strRef>
          </tx>
          <spPr>
            <a:solidFill xmlns:a="http://schemas.openxmlformats.org/drawingml/2006/main">
              <a:srgbClr val="B2592C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'Capital de giro'!$C$4:$N$4</f>
            </strRef>
          </cat>
          <val>
            <numRef>
              <f>'Capital de giro'!$C$11:$N$11</f>
            </numRef>
          </val>
        </ser>
        <ser>
          <idx val="1"/>
          <order val="1"/>
          <tx>
            <strRef>
              <f>'Capital de giro'!$B$19</f>
            </strRef>
          </tx>
          <spPr>
            <a:solidFill xmlns:a="http://schemas.openxmlformats.org/drawingml/2006/main">
              <a:srgbClr val="6905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'Capital de giro'!$C$4:$N$4</f>
            </strRef>
          </cat>
          <val>
            <numRef>
              <f>'Capital de giro'!$C$19:$N$19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DD2C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DCD2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A7E73"/>
              </a:solidFill>
              <a:latin typeface="Montserrat"/>
            </a:defRPr>
          </a:pPr>
          <a:r>
            <a:t/>
          </a:r>
          <a:endParaRPr sz="800" b="0">
            <a:solidFill>
              <a:srgbClr val="8A7E73"/>
            </a:solidFill>
            <a:latin typeface="Montserrat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690500"/>
                </a:solidFill>
                <a:latin typeface="Montserrat"/>
              </a:defRPr>
            </a:pPr>
            <a:r>
              <a:t>Estoque no fim do mês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'Estoque'!$C$4</f>
            </strRef>
          </tx>
          <spPr>
            <a:solidFill xmlns:a="http://schemas.openxmlformats.org/drawingml/2006/main">
              <a:srgbClr val="6905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'Estoque'!$B$5:$B$28</f>
            </strRef>
          </cat>
          <val>
            <numRef>
              <f>'Estoque'!$C$5:$C$28</f>
            </numRef>
          </val>
        </ser>
        <ser>
          <idx val="1"/>
          <order val="1"/>
          <tx>
            <strRef>
              <f>'Estoque'!$D$4</f>
            </strRef>
          </tx>
          <spPr>
            <a:solidFill xmlns:a="http://schemas.openxmlformats.org/drawingml/2006/main">
              <a:srgbClr val="ECC6AC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'Estoque'!$B$5:$B$28</f>
            </strRef>
          </cat>
          <val>
            <numRef>
              <f>'Estoque'!$D$5:$D$28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DD2C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DCD2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A7E73"/>
              </a:solidFill>
              <a:latin typeface="Montserrat"/>
            </a:defRPr>
          </a:pPr>
          <a:r>
            <a:t/>
          </a:r>
          <a:endParaRPr sz="800" b="0">
            <a:solidFill>
              <a:srgbClr val="8A7E73"/>
            </a:solidFill>
            <a:latin typeface="Montserrat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690500"/>
                </a:solidFill>
                <a:latin typeface="Montserrat"/>
              </a:defRPr>
            </a:pPr>
            <a:r>
              <a:t>Seguidores no fim do mês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'Redes'!$B$5</f>
            </strRef>
          </tx>
          <spPr>
            <a:ln xmlns:a="http://schemas.openxmlformats.org/drawingml/2006/main" w="28000">
              <a:solidFill>
                <a:srgbClr val="6905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690500"/>
              </a:solidFill>
              <a:ln xmlns:a="http://schemas.openxmlformats.org/drawingml/2006/main">
                <a:solidFill>
                  <a:srgbClr val="690500"/>
                </a:solidFill>
                <a:prstDash val="solid"/>
              </a:ln>
            </spPr>
          </marker>
          <cat>
            <strRef>
              <f>'Redes'!$C$4:$N$4</f>
            </strRef>
          </cat>
          <val>
            <numRef>
              <f>'Redes'!$C$90:$N$90</f>
            </numRef>
          </val>
          <smooth val="0"/>
        </ser>
        <ser>
          <idx val="1"/>
          <order val="1"/>
          <tx>
            <strRef>
              <f>'Redes'!$B$7</f>
            </strRef>
          </tx>
          <spPr>
            <a:ln xmlns:a="http://schemas.openxmlformats.org/drawingml/2006/main" w="28000">
              <a:solidFill>
                <a:srgbClr val="B2592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B2592C"/>
              </a:solidFill>
              <a:ln xmlns:a="http://schemas.openxmlformats.org/drawingml/2006/main">
                <a:solidFill>
                  <a:srgbClr val="B2592C"/>
                </a:solidFill>
                <a:prstDash val="solid"/>
              </a:ln>
            </spPr>
          </marker>
          <cat>
            <strRef>
              <f>'Redes'!$C$4:$N$4</f>
            </strRef>
          </cat>
          <val>
            <numRef>
              <f>'Redes'!$C$91:$N$91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DD2C4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4DCD2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7E73"/>
                </a:solidFill>
                <a:latin typeface="Montserrat"/>
              </a:defRPr>
            </a:pPr>
            <a:r>
              <a:t/>
            </a:r>
            <a:endParaRPr sz="800" b="0">
              <a:solidFill>
                <a:srgbClr val="8A7E73"/>
              </a:solidFill>
              <a:latin typeface="Montserrat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8A7E73"/>
              </a:solidFill>
              <a:latin typeface="Montserrat"/>
            </a:defRPr>
          </a:pPr>
          <a:r>
            <a:t/>
          </a:r>
          <a:endParaRPr sz="800" b="0">
            <a:solidFill>
              <a:srgbClr val="8A7E73"/>
            </a:solidFill>
            <a:latin typeface="Montserrat"/>
          </a:endParaRPr>
        </a:p>
      </txPr>
    </legend>
    <plotVisOnly val="0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image" Target="/xl/media/image3.png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image" Target="/xl/media/image7.png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image" Target="/xl/media/image8.png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image" Target="/xl/media/image9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image" Target="/xl/media/image11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4478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17</row>
      <rowOff>0</rowOff>
    </from>
    <ext cx="108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0</row>
      <rowOff>0</rowOff>
    </from>
    <ext cx="8191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18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0</row>
      <rowOff>0</rowOff>
    </from>
    <ext cx="8191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17</row>
      <rowOff>0</rowOff>
    </from>
    <ext cx="93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0</row>
      <rowOff>0</rowOff>
    </from>
    <ext cx="8191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8191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50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0</row>
      <rowOff>0</rowOff>
    </from>
    <ext cx="8191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13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0</row>
      <rowOff>0</rowOff>
    </from>
    <ext cx="8191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24</row>
      <rowOff>0</rowOff>
    </from>
    <ext cx="93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0</row>
      <rowOff>0</rowOff>
    </from>
    <ext cx="8191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8191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14</col>
      <colOff>0</colOff>
      <row>0</row>
      <rowOff>0</rowOff>
    </from>
    <ext cx="8191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0</row>
      <rowOff>0</rowOff>
    </from>
    <ext cx="8191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tabColor rgb="00690500"/>
    <outlinePr summaryBelow="1" summaryRight="1"/>
    <pageSetUpPr fitToPage="1"/>
  </sheetPr>
  <dimension ref="B1:I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44" customHeight="1">
      <c r="E1" s="1" t="inlineStr">
        <is>
          <t>Workbook de Fechamento</t>
        </is>
      </c>
    </row>
    <row r="2" ht="22" customHeight="1">
      <c r="E2" s="2">
        <f>"Fechamento de "&amp;Dados!$AI$8</f>
        <v/>
      </c>
    </row>
    <row r="3" ht="16" customHeight="1">
      <c r="E3" s="3" t="inlineStr">
        <is>
          <t>Data-base</t>
        </is>
      </c>
      <c r="F3" s="4">
        <f>Dados!$AI$9</f>
        <v/>
      </c>
      <c r="G3" s="5" t="inlineStr">
        <is>
          <t>Gerado em</t>
        </is>
      </c>
      <c r="H3" s="4">
        <f>Dados!$AI$10</f>
        <v/>
      </c>
      <c r="I3" s="3" t="inlineStr">
        <is>
          <t>Valores em R$</t>
        </is>
      </c>
    </row>
    <row r="5">
      <c r="B5" s="6" t="inlineStr">
        <is>
          <t>FATURAMENTO DO MÊS</t>
        </is>
      </c>
      <c r="C5" s="7" t="n"/>
      <c r="D5" s="6" t="inlineStr">
        <is>
          <t>FATURAMENTO NO ANO</t>
        </is>
      </c>
      <c r="E5" s="7" t="n"/>
      <c r="F5" s="6" t="inlineStr">
        <is>
          <t>RESULTADO DE CAIXA DO MÊS</t>
        </is>
      </c>
      <c r="G5" s="7" t="n"/>
      <c r="H5" s="6" t="inlineStr">
        <is>
          <t>RESULTADO DE CAIXA NO ANO</t>
        </is>
      </c>
      <c r="I5" s="7" t="n"/>
    </row>
    <row r="6" ht="28" customHeight="1">
      <c r="B6" s="8">
        <f>VLOOKUP(Dados!$AI$5,Dados!$A$5:$AF$41,6,FALSE)</f>
        <v/>
      </c>
      <c r="C6" s="9" t="n"/>
      <c r="D6" s="8">
        <f>SUM(Dados!$F$30:$F$41)</f>
        <v/>
      </c>
      <c r="E6" s="9" t="n"/>
      <c r="F6" s="8">
        <f>VLOOKUP(Dados!$AI$5,Dados!$A$5:$AF$41,4,FALSE)-VLOOKUP(Dados!$AI$5,Dados!$A$5:$AF$41,5,FALSE)</f>
        <v/>
      </c>
      <c r="G6" s="9" t="n"/>
      <c r="H6" s="8">
        <f>SUM(Dados!$D$30:$D$41)-SUM(Dados!$E$30:$E$41)</f>
        <v/>
      </c>
      <c r="I6" s="9" t="n"/>
    </row>
    <row r="7">
      <c r="B7" s="10" t="inlineStr">
        <is>
          <t>vs mês anterior</t>
        </is>
      </c>
      <c r="C7" s="11">
        <f>IFERROR(VLOOKUP(Dados!$AI$5,Dados!$A$5:$AF$41,6,FALSE)/VLOOKUP(EOMONTH(Dados!$AI$5,-2)+1,Dados!$A$5:$AF$41,6,FALSE)-1,"")</f>
        <v/>
      </c>
      <c r="D7" s="10" t="inlineStr">
        <is>
          <t>do limite do ano</t>
        </is>
      </c>
      <c r="E7" s="11">
        <f>IFERROR(SUM(Dados!$F$30:$F$41)/Dados!$AI$15,"")</f>
        <v/>
      </c>
      <c r="F7" s="10" t="inlineStr">
        <is>
          <t>recebido</t>
        </is>
      </c>
      <c r="G7" s="12">
        <f>VLOOKUP(Dados!$AI$5,Dados!$A$5:$AF$41,4,FALSE)</f>
        <v/>
      </c>
      <c r="H7" s="10" t="inlineStr">
        <is>
          <t>mesmo período ano ant.</t>
        </is>
      </c>
      <c r="I7" s="12">
        <f>SUMIFS(Dados!$D$18:$D$29,Dados!$A$18:$A$29,"&lt;="&amp;EOMONTH(Dados!$AI$5,-12))-SUMIFS(Dados!$E$18:$E$29,Dados!$A$18:$A$29,"&lt;="&amp;EOMONTH(Dados!$AI$5,-12))</f>
        <v/>
      </c>
    </row>
    <row r="8">
      <c r="B8" s="10" t="inlineStr">
        <is>
          <t>notas de saída</t>
        </is>
      </c>
      <c r="C8" s="13">
        <f>Dados!$AI$18</f>
        <v/>
      </c>
      <c r="D8" s="10" t="inlineStr">
        <is>
          <t>vs mesmo período</t>
        </is>
      </c>
      <c r="E8" s="11">
        <f>IFERROR(SUM(Dados!$F$30:$F$41)/SUMIFS(Dados!$F$18:$F$29,Dados!$A$18:$A$29,"&lt;="&amp;EOMONTH(Dados!$AI$5,-12))-1,"")</f>
        <v/>
      </c>
      <c r="F8" s="10" t="inlineStr">
        <is>
          <t>pago</t>
        </is>
      </c>
      <c r="G8" s="12">
        <f>VLOOKUP(Dados!$AI$5,Dados!$A$5:$AF$41,5,FALSE)</f>
        <v/>
      </c>
      <c r="H8" s="10" t="inlineStr">
        <is>
          <t>margem de caixa</t>
        </is>
      </c>
      <c r="I8" s="11">
        <f>IFERROR((SUM(Dados!$D$30:$D$41)-SUM(Dados!$E$30:$E$41))/SUM(Dados!$D$30:$D$41),"")</f>
        <v/>
      </c>
    </row>
    <row r="9">
      <c r="B9" s="10" t="n"/>
      <c r="C9" s="14" t="n"/>
      <c r="D9" s="10" t="n"/>
      <c r="E9" s="14" t="n"/>
      <c r="F9" s="10" t="n"/>
      <c r="G9" s="14" t="n"/>
      <c r="H9" s="10" t="n"/>
      <c r="I9" s="14" t="n"/>
    </row>
    <row r="10" ht="10" customHeight="1"/>
    <row r="11">
      <c r="B11" s="6" t="inlineStr">
        <is>
          <t>CAIXA NO FIM DO MÊS</t>
        </is>
      </c>
      <c r="C11" s="7" t="n"/>
      <c r="D11" s="6" t="inlineStr">
        <is>
          <t>A RECEBER</t>
        </is>
      </c>
      <c r="E11" s="7" t="n"/>
      <c r="F11" s="6" t="inlineStr">
        <is>
          <t>A PAGAR</t>
        </is>
      </c>
      <c r="G11" s="7" t="n"/>
      <c r="H11" s="6" t="inlineStr">
        <is>
          <t>ESTOQUE</t>
        </is>
      </c>
      <c r="I11" s="7" t="n"/>
    </row>
    <row r="12" ht="28" customHeight="1">
      <c r="B12" s="8">
        <f>VLOOKUP(Dados!$AI$5,Dados!$A$5:$AF$41,7,FALSE)</f>
        <v/>
      </c>
      <c r="C12" s="9" t="n"/>
      <c r="D12" s="8">
        <f>VLOOKUP(Dados!$AI$5,Dados!$A$5:$AF$41,13,FALSE)+VLOOKUP(Dados!$AI$5,Dados!$A$5:$AF$41,14,FALSE)+VLOOKUP(Dados!$AI$5,Dados!$A$5:$AF$41,15,FALSE)+VLOOKUP(Dados!$AI$5,Dados!$A$5:$AF$41,16,FALSE)+VLOOKUP(Dados!$AI$5,Dados!$A$5:$AF$41,17,FALSE)</f>
        <v/>
      </c>
      <c r="E12" s="9" t="n"/>
      <c r="F12" s="8">
        <f>VLOOKUP(Dados!$AI$5,Dados!$A$5:$AF$41,18,FALSE)+VLOOKUP(Dados!$AI$5,Dados!$A$5:$AF$41,19,FALSE)+VLOOKUP(Dados!$AI$5,Dados!$A$5:$AF$41,20,FALSE)+VLOOKUP(Dados!$AI$5,Dados!$A$5:$AF$41,21,FALSE)+VLOOKUP(Dados!$AI$5,Dados!$A$5:$AF$41,22,FALSE)</f>
        <v/>
      </c>
      <c r="G12" s="9" t="n"/>
      <c r="H12" s="8">
        <f>VLOOKUP(Dados!$AI$5,Dados!$A$5:$AF$41,11,FALSE)+VLOOKUP(Dados!$AI$5,Dados!$A$5:$AF$41,12,FALSE)</f>
        <v/>
      </c>
      <c r="I12" s="9" t="n"/>
    </row>
    <row r="13">
      <c r="B13" s="10" t="inlineStr">
        <is>
          <t>disponível</t>
        </is>
      </c>
      <c r="C13" s="12">
        <f>VLOOKUP(Dados!$AI$5,Dados!$A$5:$AF$41,7,FALSE)-VLOOKUP(Dados!$AI$5,Dados!$A$5:$AF$41,10,FALSE)</f>
        <v/>
      </c>
      <c r="D13" s="10" t="inlineStr">
        <is>
          <t>vencido</t>
        </is>
      </c>
      <c r="E13" s="12">
        <f>VLOOKUP(Dados!$AI$5,Dados!$A$5:$AF$41,16,FALSE)+VLOOKUP(Dados!$AI$5,Dados!$A$5:$AF$41,17,FALSE)</f>
        <v/>
      </c>
      <c r="F13" s="10" t="inlineStr">
        <is>
          <t>vencido</t>
        </is>
      </c>
      <c r="G13" s="12">
        <f>VLOOKUP(Dados!$AI$5,Dados!$A$5:$AF$41,21,FALSE)+VLOOKUP(Dados!$AI$5,Dados!$A$5:$AF$41,22,FALSE)</f>
        <v/>
      </c>
      <c r="H13" s="10" t="inlineStr">
        <is>
          <t>produtos</t>
        </is>
      </c>
      <c r="I13" s="12">
        <f>VLOOKUP(Dados!$AI$5,Dados!$A$5:$AF$41,11,FALSE)</f>
        <v/>
      </c>
    </row>
    <row r="14">
      <c r="B14" s="10" t="inlineStr">
        <is>
          <t>bloqueado em garantia</t>
        </is>
      </c>
      <c r="C14" s="12">
        <f>VLOOKUP(Dados!$AI$5,Dados!$A$5:$AF$41,10,FALSE)</f>
        <v/>
      </c>
      <c r="D14" s="10" t="inlineStr">
        <is>
          <t>vence em até 30 dias</t>
        </is>
      </c>
      <c r="E14" s="12">
        <f>VLOOKUP(Dados!$AI$5,Dados!$A$5:$AF$41,13,FALSE)</f>
        <v/>
      </c>
      <c r="F14" s="10" t="inlineStr">
        <is>
          <t>vence em até 30 dias</t>
        </is>
      </c>
      <c r="G14" s="12">
        <f>VLOOKUP(Dados!$AI$5,Dados!$A$5:$AF$41,18,FALSE)</f>
        <v/>
      </c>
      <c r="H14" s="10" t="inlineStr">
        <is>
          <t>materiais</t>
        </is>
      </c>
      <c r="I14" s="12">
        <f>VLOOKUP(Dados!$AI$5,Dados!$A$5:$AF$41,12,FALSE)</f>
        <v/>
      </c>
    </row>
    <row r="15">
      <c r="B15" s="10" t="n"/>
      <c r="C15" s="14" t="n"/>
      <c r="D15" s="10" t="n"/>
      <c r="E15" s="14" t="n"/>
      <c r="F15" s="10" t="n"/>
      <c r="G15" s="14" t="n"/>
      <c r="H15" s="10" t="n"/>
      <c r="I15" s="14" t="n"/>
    </row>
    <row r="17">
      <c r="B17" s="15" t="inlineStr">
        <is>
          <t>Conferências</t>
        </is>
      </c>
    </row>
    <row r="18">
      <c r="B18" s="16" t="inlineStr">
        <is>
          <t>Conferência</t>
        </is>
      </c>
      <c r="C18" s="17" t="n"/>
      <c r="D18" s="17" t="n"/>
      <c r="E18" s="17" t="n"/>
      <c r="F18" s="17" t="inlineStr">
        <is>
          <t>Situação</t>
        </is>
      </c>
      <c r="G18" s="17" t="inlineStr">
        <is>
          <t>Valor</t>
        </is>
      </c>
      <c r="H18" s="17" t="inlineStr">
        <is>
          <t>Compara com</t>
        </is>
      </c>
      <c r="I18" s="17" t="inlineStr">
        <is>
          <t>Diferença</t>
        </is>
      </c>
    </row>
    <row r="19">
      <c r="B19" s="18" t="inlineStr">
        <is>
          <t>Faturamento por cliente = faturamento do mês</t>
        </is>
      </c>
      <c r="F19" s="19">
        <f>IF(ABS(I19)&lt;1,"OK","Verificar")</f>
        <v/>
      </c>
      <c r="G19" s="20">
        <f>SUMIFS(Dados!$F$47:$F$4000,Dados!$C$47:$C$4000,"Cliente",Dados!$A$47:$A$4000,Dados!$AI$5)</f>
        <v/>
      </c>
      <c r="H19" s="20">
        <f>VLOOKUP(Dados!$AI$5,Dados!$A$5:$AF$41,6,FALSE)</f>
        <v/>
      </c>
      <c r="I19" s="20">
        <f>ROUND(G19-H19,2)</f>
        <v/>
      </c>
    </row>
    <row r="20">
      <c r="B20" s="18" t="inlineStr">
        <is>
          <t>Faturamento por estado = faturamento do mês</t>
        </is>
      </c>
      <c r="F20" s="19">
        <f>IF(ABS(I20)&lt;1,"OK","Verificar")</f>
        <v/>
      </c>
      <c r="G20" s="20">
        <f>SUMIFS(Dados!$F$47:$F$4000,Dados!$C$47:$C$4000,"Estado",Dados!$A$47:$A$4000,Dados!$AI$5)</f>
        <v/>
      </c>
      <c r="H20" s="20">
        <f>VLOOKUP(Dados!$AI$5,Dados!$A$5:$AF$41,6,FALSE)</f>
        <v/>
      </c>
      <c r="I20" s="20">
        <f>ROUND(G20-H20,2)</f>
        <v/>
      </c>
    </row>
    <row r="21">
      <c r="B21" s="18" t="inlineStr">
        <is>
          <t>Despesas por categoria = pago no mês</t>
        </is>
      </c>
      <c r="F21" s="19">
        <f>IF(ABS(I21)&lt;1,"OK","Verificar")</f>
        <v/>
      </c>
      <c r="G21" s="20">
        <f>SUMIFS(Dados!$F$47:$F$4000,Dados!$C$47:$C$4000,"Despesa",Dados!$A$47:$A$4000,Dados!$AI$5)</f>
        <v/>
      </c>
      <c r="H21" s="20">
        <f>VLOOKUP(Dados!$AI$5,Dados!$A$5:$AF$41,5,FALSE)</f>
        <v/>
      </c>
      <c r="I21" s="20">
        <f>ROUND(G21-H21,2)</f>
        <v/>
      </c>
    </row>
    <row r="22">
      <c r="B22" s="18" t="inlineStr">
        <is>
          <t>Ajuste ao extrato: caixa informado − calculado pelo ERP</t>
        </is>
      </c>
      <c r="F22" s="19">
        <f>IF(I22=0,"OK","Ajustado")</f>
        <v/>
      </c>
      <c r="G22" s="20">
        <f>VLOOKUP(Dados!$AI$5,Dados!$A$5:$AF$41,7,FALSE)</f>
        <v/>
      </c>
      <c r="H22" s="20">
        <f>VLOOKUP(Dados!$AI$5,Dados!$A$5:$AF$41,8,FALSE)</f>
        <v/>
      </c>
      <c r="I22" s="20">
        <f>ROUND(G22-H22,2)</f>
        <v/>
      </c>
    </row>
    <row r="23">
      <c r="B23" s="18" t="inlineStr">
        <is>
          <t>Ponte do caixa: inicial + recebido − pago ± ajuste = final</t>
        </is>
      </c>
      <c r="F23" s="19">
        <f>IF(ABS(I23)&lt;1,"OK","Verificar")</f>
        <v/>
      </c>
      <c r="G23" s="20">
        <f>VLOOKUP(EOMONTH(Dados!$AI$5,-2)+1,Dados!$A$5:$AF$41,7,FALSE)+VLOOKUP(Dados!$AI$5,Dados!$A$5:$AF$41,4,FALSE)-VLOOKUP(Dados!$AI$5,Dados!$A$5:$AF$41,5,FALSE)+VLOOKUP(Dados!$AI$5,Dados!$A$5:$AF$41,9,FALSE)</f>
        <v/>
      </c>
      <c r="H23" s="20">
        <f>VLOOKUP(Dados!$AI$5,Dados!$A$5:$AF$41,7,FALSE)</f>
        <v/>
      </c>
      <c r="I23" s="20">
        <f>ROUND(G23-H23,2)</f>
        <v/>
      </c>
    </row>
    <row r="24">
      <c r="B24" s="18" t="inlineStr">
        <is>
          <t>Extrato do mês conciliado (linhas pendentes)</t>
        </is>
      </c>
      <c r="F24" s="19">
        <f>IF(G24=0,"OK","Verificar")</f>
        <v/>
      </c>
      <c r="G24" s="21">
        <f>Dados!$AI$16</f>
        <v/>
      </c>
      <c r="H24" s="20" t="n"/>
      <c r="I24" s="20" t="n"/>
    </row>
    <row r="25">
      <c r="B25" s="18" t="inlineStr">
        <is>
          <t>Seguidores informados no mês (LinkedIn · Instagram)</t>
        </is>
      </c>
      <c r="F25" s="19">
        <f>IF(AND(ISNUMBER(G25),ISNUMBER(H25)),"OK","Verificar")</f>
        <v/>
      </c>
      <c r="G25" s="21">
        <f>IF(ISNUMBER(VLOOKUP(Dados!$AI$5,Dados!$A$5:$AF$41,23,FALSE)),VLOOKUP(Dados!$AI$5,Dados!$A$5:$AF$41,23,FALSE),"sem dado")</f>
        <v/>
      </c>
      <c r="H25" s="21">
        <f>IF(ISNUMBER(VLOOKUP(Dados!$AI$5,Dados!$A$5:$AF$41,24,FALSE)),VLOOKUP(Dados!$AI$5,Dados!$A$5:$AF$41,24,FALSE),"sem dado")</f>
        <v/>
      </c>
      <c r="I25" s="20" t="n"/>
    </row>
    <row r="27">
      <c r="B27" s="15" t="inlineStr">
        <is>
          <t>Abas</t>
        </is>
      </c>
    </row>
    <row r="28">
      <c r="B28" s="22" t="inlineStr">
        <is>
          <t>Resultado</t>
        </is>
      </c>
      <c r="C28" s="18" t="inlineStr">
        <is>
          <t>Recebido, pago e resultado de caixa, por mês, trimestre e ano, contra o ano anterior</t>
        </is>
      </c>
      <c r="D28" s="18" t="n"/>
      <c r="E28" s="18" t="n"/>
      <c r="F28" s="18" t="n"/>
      <c r="G28" s="18" t="n"/>
      <c r="H28" s="18" t="n"/>
      <c r="I28" s="18" t="n"/>
    </row>
    <row r="29">
      <c r="B29" s="22" t="inlineStr">
        <is>
          <t>Faturamento</t>
        </is>
      </c>
      <c r="C29" s="18" t="inlineStr">
        <is>
          <t>Notas de saída em três anos, acumulado contra a meta e o limite do ano</t>
        </is>
      </c>
      <c r="D29" s="18" t="n"/>
      <c r="E29" s="18" t="n"/>
      <c r="F29" s="18" t="n"/>
      <c r="G29" s="18" t="n"/>
      <c r="H29" s="18" t="n"/>
      <c r="I29" s="18" t="n"/>
    </row>
    <row r="30">
      <c r="B30" s="22" t="inlineStr">
        <is>
          <t>Caixa</t>
        </is>
      </c>
      <c r="C30" s="18" t="inlineStr">
        <is>
          <t>Ponte do caixa mês a mês (com rendimentos), bloqueado, disponível e meses de despesa cobertos</t>
        </is>
      </c>
      <c r="D30" s="18" t="n"/>
      <c r="E30" s="18" t="n"/>
      <c r="F30" s="18" t="n"/>
      <c r="G30" s="18" t="n"/>
      <c r="H30" s="18" t="n"/>
      <c r="I30" s="18" t="n"/>
    </row>
    <row r="31">
      <c r="B31" s="22" t="inlineStr">
        <is>
          <t>Despesas</t>
        </is>
      </c>
      <c r="C31" s="18" t="inlineStr">
        <is>
          <t>Pagamentos por categoria e os maiores fornecedores do mês</t>
        </is>
      </c>
      <c r="D31" s="18" t="n"/>
      <c r="E31" s="18" t="n"/>
      <c r="F31" s="18" t="n"/>
      <c r="G31" s="18" t="n"/>
      <c r="H31" s="18" t="n"/>
      <c r="I31" s="18" t="n"/>
    </row>
    <row r="32">
      <c r="B32" s="22" t="inlineStr">
        <is>
          <t>Clientes</t>
        </is>
      </c>
      <c r="C32" s="18" t="inlineStr">
        <is>
          <t>Faturamento por grupo econômico, participação, curva ABC e 1ª compra</t>
        </is>
      </c>
      <c r="D32" s="18" t="n"/>
      <c r="E32" s="18" t="n"/>
      <c r="F32" s="18" t="n"/>
      <c r="G32" s="18" t="n"/>
      <c r="H32" s="18" t="n"/>
      <c r="I32" s="18" t="n"/>
    </row>
    <row r="33">
      <c r="B33" s="22" t="inlineStr">
        <is>
          <t>Estados</t>
        </is>
      </c>
      <c r="C33" s="18" t="inlineStr">
        <is>
          <t>Faturamento por estado e trimestre, contra o mesmo período do ano anterior</t>
        </is>
      </c>
      <c r="D33" s="18" t="n"/>
      <c r="E33" s="18" t="n"/>
      <c r="F33" s="18" t="n"/>
      <c r="G33" s="18" t="n"/>
      <c r="H33" s="18" t="n"/>
      <c r="I33" s="18" t="n"/>
    </row>
    <row r="34">
      <c r="B34" s="22" t="inlineStr">
        <is>
          <t>Capital de giro</t>
        </is>
      </c>
      <c r="C34" s="18" t="inlineStr">
        <is>
          <t>A receber e a pagar por faixa de vencimento, nos últimos 12 meses</t>
        </is>
      </c>
      <c r="D34" s="18" t="n"/>
      <c r="E34" s="18" t="n"/>
      <c r="F34" s="18" t="n"/>
      <c r="G34" s="18" t="n"/>
      <c r="H34" s="18" t="n"/>
      <c r="I34" s="18" t="n"/>
    </row>
    <row r="35">
      <c r="B35" s="22" t="inlineStr">
        <is>
          <t>Estoque</t>
        </is>
      </c>
      <c r="C35" s="18" t="inlineStr">
        <is>
          <t>Produtos e materiais em 24 meses e cobertura em meses de faturamento</t>
        </is>
      </c>
      <c r="D35" s="18" t="n"/>
      <c r="E35" s="18" t="n"/>
      <c r="F35" s="18" t="n"/>
      <c r="G35" s="18" t="n"/>
      <c r="H35" s="18" t="n"/>
      <c r="I35" s="18" t="n"/>
    </row>
    <row r="36">
      <c r="B36" s="22" t="inlineStr">
        <is>
          <t>Sócios</t>
        </is>
      </c>
      <c r="C36" s="18" t="inlineStr">
        <is>
          <t>Retiradas do ano e resultado atribuído pela participação</t>
        </is>
      </c>
      <c r="D36" s="18" t="n"/>
      <c r="E36" s="18" t="n"/>
      <c r="F36" s="18" t="n"/>
      <c r="G36" s="18" t="n"/>
      <c r="H36" s="18" t="n"/>
      <c r="I36" s="18" t="n"/>
    </row>
    <row r="37">
      <c r="B37" s="22" t="inlineStr">
        <is>
          <t>Redes</t>
        </is>
      </c>
      <c r="C37" s="18" t="inlineStr">
        <is>
          <t>Seguidores no LinkedIn e no Instagram, mês a mês</t>
        </is>
      </c>
      <c r="D37" s="18" t="n"/>
      <c r="E37" s="18" t="n"/>
      <c r="F37" s="18" t="n"/>
      <c r="G37" s="18" t="n"/>
      <c r="H37" s="18" t="n"/>
      <c r="I37" s="18" t="n"/>
    </row>
    <row r="38">
      <c r="B38" s="22" t="inlineStr">
        <is>
          <t>Dados</t>
        </is>
      </c>
      <c r="C38" s="18" t="inlineStr">
        <is>
          <t>Base de todas as abas: um mês por linha e o detalhe do mês (com centavos)</t>
        </is>
      </c>
      <c r="D38" s="18" t="n"/>
      <c r="E38" s="18" t="n"/>
      <c r="F38" s="18" t="n"/>
      <c r="G38" s="18" t="n"/>
      <c r="H38" s="18" t="n"/>
      <c r="I38" s="18" t="n"/>
    </row>
    <row r="40">
      <c r="B40" s="23" t="inlineStr">
        <is>
          <t>Valores em R$ sem centavos; negativos em vermelho e entre parênteses; "–" é zero. Os centavos estão na aba Dados.</t>
        </is>
      </c>
    </row>
    <row r="41">
      <c r="B41" s="23" t="inlineStr">
        <is>
          <t>Regime de caixa: recebimentos e pagamentos do mês, sem transferências entre contas. Faturamento: notas de saída emitidas.</t>
        </is>
      </c>
    </row>
  </sheetData>
  <mergeCells count="35">
    <mergeCell ref="C36:I36"/>
    <mergeCell ref="F11:G11"/>
    <mergeCell ref="F6:G6"/>
    <mergeCell ref="C32:I32"/>
    <mergeCell ref="B24:E24"/>
    <mergeCell ref="C38:I38"/>
    <mergeCell ref="B20:E20"/>
    <mergeCell ref="C37:I37"/>
    <mergeCell ref="B12:C12"/>
    <mergeCell ref="D6:E6"/>
    <mergeCell ref="C28:I28"/>
    <mergeCell ref="F12:G12"/>
    <mergeCell ref="H6:I6"/>
    <mergeCell ref="B11:C11"/>
    <mergeCell ref="D11:E11"/>
    <mergeCell ref="F5:G5"/>
    <mergeCell ref="C34:I34"/>
    <mergeCell ref="B25:E25"/>
    <mergeCell ref="C30:I30"/>
    <mergeCell ref="C33:I33"/>
    <mergeCell ref="B22:E22"/>
    <mergeCell ref="H11:I11"/>
    <mergeCell ref="B18:E18"/>
    <mergeCell ref="C35:I35"/>
    <mergeCell ref="B21:E21"/>
    <mergeCell ref="C29:I29"/>
    <mergeCell ref="D12:E12"/>
    <mergeCell ref="C31:I31"/>
    <mergeCell ref="B6:C6"/>
    <mergeCell ref="H12:I12"/>
    <mergeCell ref="B23:E23"/>
    <mergeCell ref="B5:C5"/>
    <mergeCell ref="D5:E5"/>
    <mergeCell ref="H5:I5"/>
    <mergeCell ref="B19:E19"/>
  </mergeCells>
  <conditionalFormatting sqref="F19:F25">
    <cfRule type="expression" priority="1" dxfId="0">
      <formula>F19="OK"</formula>
    </cfRule>
    <cfRule type="expression" priority="2" dxfId="1">
      <formula>F19="Verificar"</formula>
    </cfRule>
    <cfRule type="expression" priority="3" dxfId="2">
      <formula>F19="Ajustado"</formula>
    </cfRule>
  </conditionalFormatting>
  <hyperlinks>
    <hyperlink ref="B28" location="'Resultado'!A1" display="Resultado"/>
    <hyperlink ref="B29" location="'Faturamento'!A1" display="Faturamento"/>
    <hyperlink ref="B30" location="'Caixa'!A1" display="Caixa"/>
    <hyperlink ref="B31" location="'Despesas'!A1" display="Despesas"/>
    <hyperlink ref="B32" location="'Clientes'!A1" display="Clientes"/>
    <hyperlink ref="B33" location="'Estados'!A1" display="Estados"/>
    <hyperlink ref="B34" location="'Capital de giro'!A1" display="Capital de giro"/>
    <hyperlink ref="B35" location="'Estoque'!A1" display="Estoque"/>
    <hyperlink ref="B36" location="'Sócios'!A1" display="Sócios"/>
    <hyperlink ref="B37" location="'Redes'!A1" display="Redes"/>
    <hyperlink ref="B38" location="'Dados'!A1" display="Dados"/>
  </hyperlinks>
  <pageMargins left="0.75" right="0.75" top="1" bottom="1" header="0.5" footer="0.5"/>
  <pageSetup orientation="landscape" paperSize="9" fitToHeight="1" fitToWidth="1"/>
  <headerFooter>
    <oddHeader/>
    <oddFooter>&amp;R&amp;8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90500"/>
    <outlinePr summaryBelow="1" summaryRight="1"/>
    <pageSetUpPr fitToPage="1"/>
  </sheetPr>
  <dimension ref="B1:S90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2" customWidth="1" min="19" max="19"/>
  </cols>
  <sheetData>
    <row r="1" ht="30" customHeight="1">
      <c r="B1" s="24">
        <f>"Resultado de caixa · "&amp;Dados!$AI$7</f>
        <v/>
      </c>
    </row>
    <row r="2" ht="16" customHeight="1">
      <c r="B2" s="3" t="inlineStr">
        <is>
          <t>Regime de caixa: o que entrou e saiu das contas no mês, sem transferências entre contas · R$</t>
        </is>
      </c>
    </row>
    <row r="3" ht="8" customHeight="1"/>
    <row r="4" ht="20" customHeight="1">
      <c r="B4" s="16" t="inlineStr">
        <is>
          <t>R$</t>
        </is>
      </c>
      <c r="C4" s="17" t="inlineStr">
        <is>
          <t>jan</t>
        </is>
      </c>
      <c r="D4" s="17" t="inlineStr">
        <is>
          <t>fev</t>
        </is>
      </c>
      <c r="E4" s="17" t="inlineStr">
        <is>
          <t>mar</t>
        </is>
      </c>
      <c r="F4" s="17" t="inlineStr">
        <is>
          <t>abr</t>
        </is>
      </c>
      <c r="G4" s="17" t="inlineStr">
        <is>
          <t>mai</t>
        </is>
      </c>
      <c r="H4" s="17" t="inlineStr">
        <is>
          <t>jun</t>
        </is>
      </c>
      <c r="I4" s="17" t="inlineStr">
        <is>
          <t>jul</t>
        </is>
      </c>
      <c r="J4" s="17" t="inlineStr">
        <is>
          <t>ago</t>
        </is>
      </c>
      <c r="K4" s="17" t="inlineStr">
        <is>
          <t>set</t>
        </is>
      </c>
      <c r="L4" s="17" t="inlineStr">
        <is>
          <t>out</t>
        </is>
      </c>
      <c r="M4" s="17" t="inlineStr">
        <is>
          <t>nov</t>
        </is>
      </c>
      <c r="N4" s="17" t="inlineStr">
        <is>
          <t>dez</t>
        </is>
      </c>
      <c r="O4" s="17" t="inlineStr">
        <is>
          <t>1º tri</t>
        </is>
      </c>
      <c r="P4" s="17" t="inlineStr">
        <is>
          <t>2º tri</t>
        </is>
      </c>
      <c r="Q4" s="17" t="inlineStr">
        <is>
          <t>3º tri</t>
        </is>
      </c>
      <c r="R4" s="17" t="inlineStr">
        <is>
          <t>4º tri</t>
        </is>
      </c>
      <c r="S4" s="25">
        <f>Dados!$AI$7</f>
        <v/>
      </c>
    </row>
    <row r="5">
      <c r="B5" s="18" t="inlineStr">
        <is>
          <t>Recebido</t>
        </is>
      </c>
      <c r="C5" s="20">
        <f>IF(Dados!$C$30=1,Dados!$D$30,"")</f>
        <v/>
      </c>
      <c r="D5" s="20">
        <f>IF(Dados!$C$31=1,Dados!$D$31,"")</f>
        <v/>
      </c>
      <c r="E5" s="20">
        <f>IF(Dados!$C$32=1,Dados!$D$32,"")</f>
        <v/>
      </c>
      <c r="F5" s="20">
        <f>IF(Dados!$C$33=1,Dados!$D$33,"")</f>
        <v/>
      </c>
      <c r="G5" s="20">
        <f>IF(Dados!$C$34=1,Dados!$D$34,"")</f>
        <v/>
      </c>
      <c r="H5" s="20">
        <f>IF(Dados!$C$35=1,Dados!$D$35,"")</f>
        <v/>
      </c>
      <c r="I5" s="20">
        <f>IF(Dados!$C$36=1,Dados!$D$36,"")</f>
        <v/>
      </c>
      <c r="J5" s="20">
        <f>IF(Dados!$C$37=1,Dados!$D$37,"")</f>
        <v/>
      </c>
      <c r="K5" s="20">
        <f>IF(Dados!$C$38=1,Dados!$D$38,"")</f>
        <v/>
      </c>
      <c r="L5" s="20">
        <f>IF(Dados!$C$39=1,Dados!$D$39,"")</f>
        <v/>
      </c>
      <c r="M5" s="20">
        <f>IF(Dados!$C$40=1,Dados!$D$40,"")</f>
        <v/>
      </c>
      <c r="N5" s="20">
        <f>IF(Dados!$C$41=1,Dados!$D$41,"")</f>
        <v/>
      </c>
      <c r="O5" s="20">
        <f>SUM(C5:E5)</f>
        <v/>
      </c>
      <c r="P5" s="20">
        <f>SUM(F5:H5)</f>
        <v/>
      </c>
      <c r="Q5" s="20">
        <f>SUM(I5:K5)</f>
        <v/>
      </c>
      <c r="R5" s="20">
        <f>SUM(L5:N5)</f>
        <v/>
      </c>
      <c r="S5" s="20">
        <f>SUM(C5:N5)</f>
        <v/>
      </c>
    </row>
    <row r="6">
      <c r="B6" s="18" t="inlineStr">
        <is>
          <t>Pago</t>
        </is>
      </c>
      <c r="C6" s="20">
        <f>IF(Dados!$C$30=1,-Dados!$E$30,"")</f>
        <v/>
      </c>
      <c r="D6" s="20">
        <f>IF(Dados!$C$31=1,-Dados!$E$31,"")</f>
        <v/>
      </c>
      <c r="E6" s="20">
        <f>IF(Dados!$C$32=1,-Dados!$E$32,"")</f>
        <v/>
      </c>
      <c r="F6" s="20">
        <f>IF(Dados!$C$33=1,-Dados!$E$33,"")</f>
        <v/>
      </c>
      <c r="G6" s="20">
        <f>IF(Dados!$C$34=1,-Dados!$E$34,"")</f>
        <v/>
      </c>
      <c r="H6" s="20">
        <f>IF(Dados!$C$35=1,-Dados!$E$35,"")</f>
        <v/>
      </c>
      <c r="I6" s="20">
        <f>IF(Dados!$C$36=1,-Dados!$E$36,"")</f>
        <v/>
      </c>
      <c r="J6" s="20">
        <f>IF(Dados!$C$37=1,-Dados!$E$37,"")</f>
        <v/>
      </c>
      <c r="K6" s="20">
        <f>IF(Dados!$C$38=1,-Dados!$E$38,"")</f>
        <v/>
      </c>
      <c r="L6" s="20">
        <f>IF(Dados!$C$39=1,-Dados!$E$39,"")</f>
        <v/>
      </c>
      <c r="M6" s="20">
        <f>IF(Dados!$C$40=1,-Dados!$E$40,"")</f>
        <v/>
      </c>
      <c r="N6" s="20">
        <f>IF(Dados!$C$41=1,-Dados!$E$41,"")</f>
        <v/>
      </c>
      <c r="O6" s="20">
        <f>SUM(C6:E6)</f>
        <v/>
      </c>
      <c r="P6" s="20">
        <f>SUM(F6:H6)</f>
        <v/>
      </c>
      <c r="Q6" s="20">
        <f>SUM(I6:K6)</f>
        <v/>
      </c>
      <c r="R6" s="20">
        <f>SUM(L6:N6)</f>
        <v/>
      </c>
      <c r="S6" s="20">
        <f>SUM(C6:N6)</f>
        <v/>
      </c>
    </row>
    <row r="7">
      <c r="B7" s="26" t="inlineStr">
        <is>
          <t>Resultado de caixa</t>
        </is>
      </c>
      <c r="C7" s="27">
        <f>IF(C5="","",C5+C6)</f>
        <v/>
      </c>
      <c r="D7" s="27">
        <f>IF(D5="","",D5+D6)</f>
        <v/>
      </c>
      <c r="E7" s="27">
        <f>IF(E5="","",E5+E6)</f>
        <v/>
      </c>
      <c r="F7" s="27">
        <f>IF(F5="","",F5+F6)</f>
        <v/>
      </c>
      <c r="G7" s="27">
        <f>IF(G5="","",G5+G6)</f>
        <v/>
      </c>
      <c r="H7" s="27">
        <f>IF(H5="","",H5+H6)</f>
        <v/>
      </c>
      <c r="I7" s="27">
        <f>IF(I5="","",I5+I6)</f>
        <v/>
      </c>
      <c r="J7" s="27">
        <f>IF(J5="","",J5+J6)</f>
        <v/>
      </c>
      <c r="K7" s="27">
        <f>IF(K5="","",K5+K6)</f>
        <v/>
      </c>
      <c r="L7" s="27">
        <f>IF(L5="","",L5+L6)</f>
        <v/>
      </c>
      <c r="M7" s="27">
        <f>IF(M5="","",M5+M6)</f>
        <v/>
      </c>
      <c r="N7" s="27">
        <f>IF(N5="","",N5+N6)</f>
        <v/>
      </c>
      <c r="O7" s="27">
        <f>SUM(C7:E7)</f>
        <v/>
      </c>
      <c r="P7" s="27">
        <f>SUM(F7:H7)</f>
        <v/>
      </c>
      <c r="Q7" s="27">
        <f>SUM(I7:K7)</f>
        <v/>
      </c>
      <c r="R7" s="27">
        <f>SUM(L7:N7)</f>
        <v/>
      </c>
      <c r="S7" s="27">
        <f>SUM(C7:N7)</f>
        <v/>
      </c>
    </row>
    <row r="8">
      <c r="B8" s="28" t="inlineStr">
        <is>
          <t>Resultado acumulado no ano</t>
        </is>
      </c>
      <c r="C8" s="29">
        <f>IF(C7="","",C7)</f>
        <v/>
      </c>
      <c r="D8" s="29">
        <f>IF(D7="","",N(C8)+D7)</f>
        <v/>
      </c>
      <c r="E8" s="29">
        <f>IF(E7="","",N(D8)+E7)</f>
        <v/>
      </c>
      <c r="F8" s="29">
        <f>IF(F7="","",N(E8)+F7)</f>
        <v/>
      </c>
      <c r="G8" s="29">
        <f>IF(G7="","",N(F8)+G7)</f>
        <v/>
      </c>
      <c r="H8" s="29">
        <f>IF(H7="","",N(G8)+H7)</f>
        <v/>
      </c>
      <c r="I8" s="29">
        <f>IF(I7="","",N(H8)+I7)</f>
        <v/>
      </c>
      <c r="J8" s="29">
        <f>IF(J7="","",N(I8)+J7)</f>
        <v/>
      </c>
      <c r="K8" s="29">
        <f>IF(K7="","",N(J8)+K7)</f>
        <v/>
      </c>
      <c r="L8" s="29">
        <f>IF(L7="","",N(K8)+L7)</f>
        <v/>
      </c>
      <c r="M8" s="29">
        <f>IF(M7="","",N(L8)+M7)</f>
        <v/>
      </c>
      <c r="N8" s="29">
        <f>IF(N7="","",N(M8)+N7)</f>
        <v/>
      </c>
      <c r="O8" s="29" t="n"/>
      <c r="P8" s="29" t="n"/>
      <c r="Q8" s="29" t="n"/>
      <c r="R8" s="29" t="n"/>
      <c r="S8" s="29" t="n"/>
    </row>
    <row r="9">
      <c r="B9" s="28" t="inlineStr">
        <is>
          <t>Margem de caixa</t>
        </is>
      </c>
      <c r="C9" s="30">
        <f>IF(C5="","",IFERROR(C7/C5,""))</f>
        <v/>
      </c>
      <c r="D9" s="30">
        <f>IF(D5="","",IFERROR(D7/D5,""))</f>
        <v/>
      </c>
      <c r="E9" s="30">
        <f>IF(E5="","",IFERROR(E7/E5,""))</f>
        <v/>
      </c>
      <c r="F9" s="30">
        <f>IF(F5="","",IFERROR(F7/F5,""))</f>
        <v/>
      </c>
      <c r="G9" s="30">
        <f>IF(G5="","",IFERROR(G7/G5,""))</f>
        <v/>
      </c>
      <c r="H9" s="30">
        <f>IF(H5="","",IFERROR(H7/H5,""))</f>
        <v/>
      </c>
      <c r="I9" s="30">
        <f>IF(I5="","",IFERROR(I7/I5,""))</f>
        <v/>
      </c>
      <c r="J9" s="30">
        <f>IF(J5="","",IFERROR(J7/J5,""))</f>
        <v/>
      </c>
      <c r="K9" s="30">
        <f>IF(K5="","",IFERROR(K7/K5,""))</f>
        <v/>
      </c>
      <c r="L9" s="30">
        <f>IF(L5="","",IFERROR(L7/L5,""))</f>
        <v/>
      </c>
      <c r="M9" s="30">
        <f>IF(M5="","",IFERROR(M7/M5,""))</f>
        <v/>
      </c>
      <c r="N9" s="30">
        <f>IF(N5="","",IFERROR(N7/N5,""))</f>
        <v/>
      </c>
      <c r="O9" s="30">
        <f>IFERROR(O7/O5,"")</f>
        <v/>
      </c>
      <c r="P9" s="30">
        <f>IFERROR(P7/P5,"")</f>
        <v/>
      </c>
      <c r="Q9" s="30">
        <f>IFERROR(Q7/Q5,"")</f>
        <v/>
      </c>
      <c r="R9" s="30">
        <f>IFERROR(R7/R5,"")</f>
        <v/>
      </c>
      <c r="S9" s="30">
        <f>IFERROR(S7/S5,"")</f>
        <v/>
      </c>
    </row>
    <row r="11">
      <c r="B11" s="15">
        <f>"Ano anterior · "&amp;(Dados!$AI$7-1)</f>
        <v/>
      </c>
    </row>
    <row r="12">
      <c r="B12" s="18" t="inlineStr">
        <is>
          <t>Recebido</t>
        </is>
      </c>
      <c r="C12" s="20">
        <f>IF(Dados!$C$18=1,Dados!$D$18,"")</f>
        <v/>
      </c>
      <c r="D12" s="20">
        <f>IF(Dados!$C$19=1,Dados!$D$19,"")</f>
        <v/>
      </c>
      <c r="E12" s="20">
        <f>IF(Dados!$C$20=1,Dados!$D$20,"")</f>
        <v/>
      </c>
      <c r="F12" s="20">
        <f>IF(Dados!$C$21=1,Dados!$D$21,"")</f>
        <v/>
      </c>
      <c r="G12" s="20">
        <f>IF(Dados!$C$22=1,Dados!$D$22,"")</f>
        <v/>
      </c>
      <c r="H12" s="20">
        <f>IF(Dados!$C$23=1,Dados!$D$23,"")</f>
        <v/>
      </c>
      <c r="I12" s="20">
        <f>IF(Dados!$C$24=1,Dados!$D$24,"")</f>
        <v/>
      </c>
      <c r="J12" s="20">
        <f>IF(Dados!$C$25=1,Dados!$D$25,"")</f>
        <v/>
      </c>
      <c r="K12" s="20">
        <f>IF(Dados!$C$26=1,Dados!$D$26,"")</f>
        <v/>
      </c>
      <c r="L12" s="20">
        <f>IF(Dados!$C$27=1,Dados!$D$27,"")</f>
        <v/>
      </c>
      <c r="M12" s="20">
        <f>IF(Dados!$C$28=1,Dados!$D$28,"")</f>
        <v/>
      </c>
      <c r="N12" s="20">
        <f>IF(Dados!$C$29=1,Dados!$D$29,"")</f>
        <v/>
      </c>
      <c r="O12" s="20">
        <f>SUM(C12:E12)</f>
        <v/>
      </c>
      <c r="P12" s="20">
        <f>SUM(F12:H12)</f>
        <v/>
      </c>
      <c r="Q12" s="20">
        <f>SUM(I12:K12)</f>
        <v/>
      </c>
      <c r="R12" s="20">
        <f>SUM(L12:N12)</f>
        <v/>
      </c>
      <c r="S12" s="20">
        <f>SUM(C12:N12)</f>
        <v/>
      </c>
    </row>
    <row r="13">
      <c r="B13" s="18" t="inlineStr">
        <is>
          <t>Pago</t>
        </is>
      </c>
      <c r="C13" s="20">
        <f>IF(Dados!$C$18=1,-Dados!$E$18,"")</f>
        <v/>
      </c>
      <c r="D13" s="20">
        <f>IF(Dados!$C$19=1,-Dados!$E$19,"")</f>
        <v/>
      </c>
      <c r="E13" s="20">
        <f>IF(Dados!$C$20=1,-Dados!$E$20,"")</f>
        <v/>
      </c>
      <c r="F13" s="20">
        <f>IF(Dados!$C$21=1,-Dados!$E$21,"")</f>
        <v/>
      </c>
      <c r="G13" s="20">
        <f>IF(Dados!$C$22=1,-Dados!$E$22,"")</f>
        <v/>
      </c>
      <c r="H13" s="20">
        <f>IF(Dados!$C$23=1,-Dados!$E$23,"")</f>
        <v/>
      </c>
      <c r="I13" s="20">
        <f>IF(Dados!$C$24=1,-Dados!$E$24,"")</f>
        <v/>
      </c>
      <c r="J13" s="20">
        <f>IF(Dados!$C$25=1,-Dados!$E$25,"")</f>
        <v/>
      </c>
      <c r="K13" s="20">
        <f>IF(Dados!$C$26=1,-Dados!$E$26,"")</f>
        <v/>
      </c>
      <c r="L13" s="20">
        <f>IF(Dados!$C$27=1,-Dados!$E$27,"")</f>
        <v/>
      </c>
      <c r="M13" s="20">
        <f>IF(Dados!$C$28=1,-Dados!$E$28,"")</f>
        <v/>
      </c>
      <c r="N13" s="20">
        <f>IF(Dados!$C$29=1,-Dados!$E$29,"")</f>
        <v/>
      </c>
      <c r="O13" s="20">
        <f>SUM(C13:E13)</f>
        <v/>
      </c>
      <c r="P13" s="20">
        <f>SUM(F13:H13)</f>
        <v/>
      </c>
      <c r="Q13" s="20">
        <f>SUM(I13:K13)</f>
        <v/>
      </c>
      <c r="R13" s="20">
        <f>SUM(L13:N13)</f>
        <v/>
      </c>
      <c r="S13" s="20">
        <f>SUM(C13:N13)</f>
        <v/>
      </c>
    </row>
    <row r="14">
      <c r="B14" s="26" t="inlineStr">
        <is>
          <t>Resultado de caixa</t>
        </is>
      </c>
      <c r="C14" s="27">
        <f>IF(C12="","",C12+C13)</f>
        <v/>
      </c>
      <c r="D14" s="27">
        <f>IF(D12="","",D12+D13)</f>
        <v/>
      </c>
      <c r="E14" s="27">
        <f>IF(E12="","",E12+E13)</f>
        <v/>
      </c>
      <c r="F14" s="27">
        <f>IF(F12="","",F12+F13)</f>
        <v/>
      </c>
      <c r="G14" s="27">
        <f>IF(G12="","",G12+G13)</f>
        <v/>
      </c>
      <c r="H14" s="27">
        <f>IF(H12="","",H12+H13)</f>
        <v/>
      </c>
      <c r="I14" s="27">
        <f>IF(I12="","",I12+I13)</f>
        <v/>
      </c>
      <c r="J14" s="27">
        <f>IF(J12="","",J12+J13)</f>
        <v/>
      </c>
      <c r="K14" s="27">
        <f>IF(K12="","",K12+K13)</f>
        <v/>
      </c>
      <c r="L14" s="27">
        <f>IF(L12="","",L12+L13)</f>
        <v/>
      </c>
      <c r="M14" s="27">
        <f>IF(M12="","",M12+M13)</f>
        <v/>
      </c>
      <c r="N14" s="27">
        <f>IF(N12="","",N12+N13)</f>
        <v/>
      </c>
      <c r="O14" s="27">
        <f>SUM(C14:E14)</f>
        <v/>
      </c>
      <c r="P14" s="27">
        <f>SUM(F14:H14)</f>
        <v/>
      </c>
      <c r="Q14" s="27">
        <f>SUM(I14:K14)</f>
        <v/>
      </c>
      <c r="R14" s="27">
        <f>SUM(L14:N14)</f>
        <v/>
      </c>
      <c r="S14" s="27">
        <f>SUM(C14:N14)</f>
        <v/>
      </c>
    </row>
    <row r="15">
      <c r="B15" s="28" t="inlineStr">
        <is>
          <t>Diferença do resultado vs ano anterior</t>
        </is>
      </c>
      <c r="C15" s="29">
        <f>IF(C7="","",C7-C14)</f>
        <v/>
      </c>
      <c r="D15" s="29">
        <f>IF(D7="","",D7-D14)</f>
        <v/>
      </c>
      <c r="E15" s="29">
        <f>IF(E7="","",E7-E14)</f>
        <v/>
      </c>
      <c r="F15" s="29">
        <f>IF(F7="","",F7-F14)</f>
        <v/>
      </c>
      <c r="G15" s="29">
        <f>IF(G7="","",G7-G14)</f>
        <v/>
      </c>
      <c r="H15" s="29">
        <f>IF(H7="","",H7-H14)</f>
        <v/>
      </c>
      <c r="I15" s="29">
        <f>IF(I7="","",I7-I14)</f>
        <v/>
      </c>
      <c r="J15" s="29">
        <f>IF(J7="","",J7-J14)</f>
        <v/>
      </c>
      <c r="K15" s="29">
        <f>IF(K7="","",K7-K14)</f>
        <v/>
      </c>
      <c r="L15" s="29">
        <f>IF(L7="","",L7-L14)</f>
        <v/>
      </c>
      <c r="M15" s="29">
        <f>IF(M7="","",M7-M14)</f>
        <v/>
      </c>
      <c r="N15" s="29">
        <f>IF(N7="","",N7-N14)</f>
        <v/>
      </c>
      <c r="O15" s="29">
        <f>SUM(C15:E15)</f>
        <v/>
      </c>
      <c r="P15" s="29">
        <f>SUM(F15:H15)</f>
        <v/>
      </c>
      <c r="Q15" s="29">
        <f>SUM(I15:K15)</f>
        <v/>
      </c>
      <c r="R15" s="29">
        <f>SUM(L15:N15)</f>
        <v/>
      </c>
      <c r="S15" s="29">
        <f>SUM(C15:N15)</f>
        <v/>
      </c>
    </row>
    <row r="16">
      <c r="B16" s="23" t="inlineStr">
        <is>
          <t>Trimestres e ano somam só os meses fechados. Meses futuros ficam vazios.</t>
        </is>
      </c>
    </row>
    <row r="90" hidden="1">
      <c r="B90" s="23" t="inlineStr">
        <is>
          <t>Auxiliar do gráfico (linha 8)</t>
        </is>
      </c>
      <c r="C90" s="29">
        <f>IF(ISNUMBER(C8),C8,NA())</f>
        <v/>
      </c>
      <c r="D90" s="29">
        <f>IF(ISNUMBER(D8),D8,NA())</f>
        <v/>
      </c>
      <c r="E90" s="29">
        <f>IF(ISNUMBER(E8),E8,NA())</f>
        <v/>
      </c>
      <c r="F90" s="29">
        <f>IF(ISNUMBER(F8),F8,NA())</f>
        <v/>
      </c>
      <c r="G90" s="29">
        <f>IF(ISNUMBER(G8),G8,NA())</f>
        <v/>
      </c>
      <c r="H90" s="29">
        <f>IF(ISNUMBER(H8),H8,NA())</f>
        <v/>
      </c>
      <c r="I90" s="29">
        <f>IF(ISNUMBER(I8),I8,NA())</f>
        <v/>
      </c>
      <c r="J90" s="29">
        <f>IF(ISNUMBER(J8),J8,NA())</f>
        <v/>
      </c>
      <c r="K90" s="29">
        <f>IF(ISNUMBER(K8),K8,NA())</f>
        <v/>
      </c>
      <c r="L90" s="29">
        <f>IF(ISNUMBER(L8),L8,NA())</f>
        <v/>
      </c>
      <c r="M90" s="29">
        <f>IF(ISNUMBER(M8),M8,NA())</f>
        <v/>
      </c>
      <c r="N90" s="29">
        <f>IF(ISNUMBER(N8),N8,NA())</f>
        <v/>
      </c>
    </row>
  </sheetData>
  <conditionalFormatting sqref="C4:N4">
    <cfRule type="expression" priority="1" dxfId="1">
      <formula>COLUMN(C4)-2=Dados!$AI$6</formula>
    </cfRule>
  </conditionalFormatting>
  <conditionalFormatting sqref="C5:N9">
    <cfRule type="expression" priority="2" dxfId="3">
      <formula>COLUMN(C5)-2=Dados!$AI$6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&amp;L&amp;"Montserrat"&amp;8 AviZee · Workbook de Fechamento&amp;R&amp;"Montserrat"&amp;8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2592C"/>
    <outlinePr summaryBelow="1" summaryRight="1"/>
    <pageSetUpPr fitToPage="1"/>
  </sheetPr>
  <dimension ref="B1:O90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30" customHeight="1">
      <c r="B1" s="24">
        <f>"Faturamento · "&amp;Dados!$AI$7</f>
        <v/>
      </c>
    </row>
    <row r="2" ht="16" customHeight="1">
      <c r="B2" s="3" t="inlineStr">
        <is>
          <t>Notas fiscais de saída emitidas no mês · coluna Ano: variação contra o mesmo período do ano anterior · R$</t>
        </is>
      </c>
    </row>
    <row r="3" ht="8" customHeight="1"/>
    <row r="4" ht="20" customHeight="1">
      <c r="B4" s="16" t="inlineStr">
        <is>
          <t>R$</t>
        </is>
      </c>
      <c r="C4" s="17" t="inlineStr">
        <is>
          <t>jan</t>
        </is>
      </c>
      <c r="D4" s="17" t="inlineStr">
        <is>
          <t>fev</t>
        </is>
      </c>
      <c r="E4" s="17" t="inlineStr">
        <is>
          <t>mar</t>
        </is>
      </c>
      <c r="F4" s="17" t="inlineStr">
        <is>
          <t>abr</t>
        </is>
      </c>
      <c r="G4" s="17" t="inlineStr">
        <is>
          <t>mai</t>
        </is>
      </c>
      <c r="H4" s="17" t="inlineStr">
        <is>
          <t>jun</t>
        </is>
      </c>
      <c r="I4" s="17" t="inlineStr">
        <is>
          <t>jul</t>
        </is>
      </c>
      <c r="J4" s="17" t="inlineStr">
        <is>
          <t>ago</t>
        </is>
      </c>
      <c r="K4" s="17" t="inlineStr">
        <is>
          <t>set</t>
        </is>
      </c>
      <c r="L4" s="17" t="inlineStr">
        <is>
          <t>out</t>
        </is>
      </c>
      <c r="M4" s="17" t="inlineStr">
        <is>
          <t>nov</t>
        </is>
      </c>
      <c r="N4" s="17" t="inlineStr">
        <is>
          <t>dez</t>
        </is>
      </c>
      <c r="O4" s="17" t="inlineStr">
        <is>
          <t>Ano</t>
        </is>
      </c>
    </row>
    <row r="5">
      <c r="B5" s="31">
        <f>Dados!$AI$7-2</f>
        <v/>
      </c>
      <c r="C5" s="20">
        <f>IF(Dados!$C$6=1,Dados!$F$6,"")</f>
        <v/>
      </c>
      <c r="D5" s="20">
        <f>IF(Dados!$C$7=1,Dados!$F$7,"")</f>
        <v/>
      </c>
      <c r="E5" s="20">
        <f>IF(Dados!$C$8=1,Dados!$F$8,"")</f>
        <v/>
      </c>
      <c r="F5" s="20">
        <f>IF(Dados!$C$9=1,Dados!$F$9,"")</f>
        <v/>
      </c>
      <c r="G5" s="20">
        <f>IF(Dados!$C$10=1,Dados!$F$10,"")</f>
        <v/>
      </c>
      <c r="H5" s="20">
        <f>IF(Dados!$C$11=1,Dados!$F$11,"")</f>
        <v/>
      </c>
      <c r="I5" s="20">
        <f>IF(Dados!$C$12=1,Dados!$F$12,"")</f>
        <v/>
      </c>
      <c r="J5" s="20">
        <f>IF(Dados!$C$13=1,Dados!$F$13,"")</f>
        <v/>
      </c>
      <c r="K5" s="20">
        <f>IF(Dados!$C$14=1,Dados!$F$14,"")</f>
        <v/>
      </c>
      <c r="L5" s="20">
        <f>IF(Dados!$C$15=1,Dados!$F$15,"")</f>
        <v/>
      </c>
      <c r="M5" s="20">
        <f>IF(Dados!$C$16=1,Dados!$F$16,"")</f>
        <v/>
      </c>
      <c r="N5" s="20">
        <f>IF(Dados!$C$17=1,Dados!$F$17,"")</f>
        <v/>
      </c>
      <c r="O5" s="20">
        <f>SUM(C5:N5)</f>
        <v/>
      </c>
    </row>
    <row r="6">
      <c r="B6" s="31">
        <f>Dados!$AI$7-1</f>
        <v/>
      </c>
      <c r="C6" s="20">
        <f>IF(Dados!$C$18=1,Dados!$F$18,"")</f>
        <v/>
      </c>
      <c r="D6" s="20">
        <f>IF(Dados!$C$19=1,Dados!$F$19,"")</f>
        <v/>
      </c>
      <c r="E6" s="20">
        <f>IF(Dados!$C$20=1,Dados!$F$20,"")</f>
        <v/>
      </c>
      <c r="F6" s="20">
        <f>IF(Dados!$C$21=1,Dados!$F$21,"")</f>
        <v/>
      </c>
      <c r="G6" s="20">
        <f>IF(Dados!$C$22=1,Dados!$F$22,"")</f>
        <v/>
      </c>
      <c r="H6" s="20">
        <f>IF(Dados!$C$23=1,Dados!$F$23,"")</f>
        <v/>
      </c>
      <c r="I6" s="20">
        <f>IF(Dados!$C$24=1,Dados!$F$24,"")</f>
        <v/>
      </c>
      <c r="J6" s="20">
        <f>IF(Dados!$C$25=1,Dados!$F$25,"")</f>
        <v/>
      </c>
      <c r="K6" s="20">
        <f>IF(Dados!$C$26=1,Dados!$F$26,"")</f>
        <v/>
      </c>
      <c r="L6" s="20">
        <f>IF(Dados!$C$27=1,Dados!$F$27,"")</f>
        <v/>
      </c>
      <c r="M6" s="20">
        <f>IF(Dados!$C$28=1,Dados!$F$28,"")</f>
        <v/>
      </c>
      <c r="N6" s="20">
        <f>IF(Dados!$C$29=1,Dados!$F$29,"")</f>
        <v/>
      </c>
      <c r="O6" s="20">
        <f>SUM(C6:N6)</f>
        <v/>
      </c>
    </row>
    <row r="7">
      <c r="B7" s="32">
        <f>Dados!$AI$7</f>
        <v/>
      </c>
      <c r="C7" s="27">
        <f>IF(Dados!$C$30=1,Dados!$F$30,"")</f>
        <v/>
      </c>
      <c r="D7" s="27">
        <f>IF(Dados!$C$31=1,Dados!$F$31,"")</f>
        <v/>
      </c>
      <c r="E7" s="27">
        <f>IF(Dados!$C$32=1,Dados!$F$32,"")</f>
        <v/>
      </c>
      <c r="F7" s="27">
        <f>IF(Dados!$C$33=1,Dados!$F$33,"")</f>
        <v/>
      </c>
      <c r="G7" s="27">
        <f>IF(Dados!$C$34=1,Dados!$F$34,"")</f>
        <v/>
      </c>
      <c r="H7" s="27">
        <f>IF(Dados!$C$35=1,Dados!$F$35,"")</f>
        <v/>
      </c>
      <c r="I7" s="27">
        <f>IF(Dados!$C$36=1,Dados!$F$36,"")</f>
        <v/>
      </c>
      <c r="J7" s="27">
        <f>IF(Dados!$C$37=1,Dados!$F$37,"")</f>
        <v/>
      </c>
      <c r="K7" s="27">
        <f>IF(Dados!$C$38=1,Dados!$F$38,"")</f>
        <v/>
      </c>
      <c r="L7" s="27">
        <f>IF(Dados!$C$39=1,Dados!$F$39,"")</f>
        <v/>
      </c>
      <c r="M7" s="27">
        <f>IF(Dados!$C$40=1,Dados!$F$40,"")</f>
        <v/>
      </c>
      <c r="N7" s="27">
        <f>IF(Dados!$C$41=1,Dados!$F$41,"")</f>
        <v/>
      </c>
      <c r="O7" s="27">
        <f>SUM(C7:N7)</f>
        <v/>
      </c>
    </row>
    <row r="8">
      <c r="B8" s="28" t="inlineStr">
        <is>
          <t>Variação vs ano anterior</t>
        </is>
      </c>
      <c r="C8" s="30">
        <f>IF(C7="","",IFERROR(C7/C6-1,""))</f>
        <v/>
      </c>
      <c r="D8" s="30">
        <f>IF(D7="","",IFERROR(D7/D6-1,""))</f>
        <v/>
      </c>
      <c r="E8" s="30">
        <f>IF(E7="","",IFERROR(E7/E6-1,""))</f>
        <v/>
      </c>
      <c r="F8" s="30">
        <f>IF(F7="","",IFERROR(F7/F6-1,""))</f>
        <v/>
      </c>
      <c r="G8" s="30">
        <f>IF(G7="","",IFERROR(G7/G6-1,""))</f>
        <v/>
      </c>
      <c r="H8" s="30">
        <f>IF(H7="","",IFERROR(H7/H6-1,""))</f>
        <v/>
      </c>
      <c r="I8" s="30">
        <f>IF(I7="","",IFERROR(I7/I6-1,""))</f>
        <v/>
      </c>
      <c r="J8" s="30">
        <f>IF(J7="","",IFERROR(J7/J6-1,""))</f>
        <v/>
      </c>
      <c r="K8" s="30">
        <f>IF(K7="","",IFERROR(K7/K6-1,""))</f>
        <v/>
      </c>
      <c r="L8" s="30">
        <f>IF(L7="","",IFERROR(L7/L6-1,""))</f>
        <v/>
      </c>
      <c r="M8" s="30">
        <f>IF(M7="","",IFERROR(M7/M6-1,""))</f>
        <v/>
      </c>
      <c r="N8" s="30">
        <f>IF(N7="","",IFERROR(N7/N6-1,""))</f>
        <v/>
      </c>
      <c r="O8" s="30">
        <f>IFERROR(O7/SUMIFS(Dados!$F$18:$F$29,Dados!$A$18:$A$29,"&lt;="&amp;EOMONTH(Dados!$AI$5,-12))-1,"")</f>
        <v/>
      </c>
    </row>
    <row r="10">
      <c r="B10" s="15" t="inlineStr">
        <is>
          <t>Acumulado, meta e limite</t>
        </is>
      </c>
    </row>
    <row r="11">
      <c r="B11" s="26" t="inlineStr">
        <is>
          <t>Acumulado no ano</t>
        </is>
      </c>
      <c r="C11" s="27">
        <f>IF(C7="","",C7)</f>
        <v/>
      </c>
      <c r="D11" s="27">
        <f>IF(D7="","",N(C11)+D7)</f>
        <v/>
      </c>
      <c r="E11" s="27">
        <f>IF(E7="","",N(D11)+E7)</f>
        <v/>
      </c>
      <c r="F11" s="27">
        <f>IF(F7="","",N(E11)+F7)</f>
        <v/>
      </c>
      <c r="G11" s="27">
        <f>IF(G7="","",N(F11)+G7)</f>
        <v/>
      </c>
      <c r="H11" s="27">
        <f>IF(H7="","",N(G11)+H7)</f>
        <v/>
      </c>
      <c r="I11" s="27">
        <f>IF(I7="","",N(H11)+I7)</f>
        <v/>
      </c>
      <c r="J11" s="27">
        <f>IF(J7="","",N(I11)+J7)</f>
        <v/>
      </c>
      <c r="K11" s="27">
        <f>IF(K7="","",N(J11)+K7)</f>
        <v/>
      </c>
      <c r="L11" s="27">
        <f>IF(L7="","",N(K11)+L7)</f>
        <v/>
      </c>
      <c r="M11" s="27">
        <f>IF(M7="","",N(L11)+M7)</f>
        <v/>
      </c>
      <c r="N11" s="27">
        <f>IF(N7="","",N(M11)+N7)</f>
        <v/>
      </c>
      <c r="O11" s="27">
        <f>N(O7)</f>
        <v/>
      </c>
    </row>
    <row r="12">
      <c r="B12" s="18" t="inlineStr">
        <is>
          <t>Acumulado do ano anterior</t>
        </is>
      </c>
      <c r="C12" s="20">
        <f>N(C6)</f>
        <v/>
      </c>
      <c r="D12" s="20">
        <f>C12+N(D6)</f>
        <v/>
      </c>
      <c r="E12" s="20">
        <f>D12+N(E6)</f>
        <v/>
      </c>
      <c r="F12" s="20">
        <f>E12+N(F6)</f>
        <v/>
      </c>
      <c r="G12" s="20">
        <f>F12+N(G6)</f>
        <v/>
      </c>
      <c r="H12" s="20">
        <f>G12+N(H6)</f>
        <v/>
      </c>
      <c r="I12" s="20">
        <f>H12+N(I6)</f>
        <v/>
      </c>
      <c r="J12" s="20">
        <f>I12+N(J6)</f>
        <v/>
      </c>
      <c r="K12" s="20">
        <f>J12+N(K6)</f>
        <v/>
      </c>
      <c r="L12" s="20">
        <f>K12+N(L6)</f>
        <v/>
      </c>
      <c r="M12" s="20">
        <f>L12+N(M6)</f>
        <v/>
      </c>
      <c r="N12" s="20">
        <f>M12+N(N6)</f>
        <v/>
      </c>
      <c r="O12" s="20">
        <f>O6</f>
        <v/>
      </c>
    </row>
    <row r="13">
      <c r="B13" s="18" t="inlineStr">
        <is>
          <t>Meta acumulada</t>
        </is>
      </c>
      <c r="C13" s="20">
        <f>C12*(1+Dados!$AI$11)</f>
        <v/>
      </c>
      <c r="D13" s="20">
        <f>D12*(1+Dados!$AI$11)</f>
        <v/>
      </c>
      <c r="E13" s="20">
        <f>E12*(1+Dados!$AI$11)</f>
        <v/>
      </c>
      <c r="F13" s="20">
        <f>F12*(1+Dados!$AI$11)</f>
        <v/>
      </c>
      <c r="G13" s="20">
        <f>G12*(1+Dados!$AI$11)</f>
        <v/>
      </c>
      <c r="H13" s="20">
        <f>H12*(1+Dados!$AI$11)</f>
        <v/>
      </c>
      <c r="I13" s="20">
        <f>I12*(1+Dados!$AI$11)</f>
        <v/>
      </c>
      <c r="J13" s="20">
        <f>J12*(1+Dados!$AI$11)</f>
        <v/>
      </c>
      <c r="K13" s="20">
        <f>K12*(1+Dados!$AI$11)</f>
        <v/>
      </c>
      <c r="L13" s="20">
        <f>L12*(1+Dados!$AI$11)</f>
        <v/>
      </c>
      <c r="M13" s="20">
        <f>M12*(1+Dados!$AI$11)</f>
        <v/>
      </c>
      <c r="N13" s="20">
        <f>N12*(1+Dados!$AI$11)</f>
        <v/>
      </c>
      <c r="O13" s="20">
        <f>O12*(1+Dados!$AI$11)</f>
        <v/>
      </c>
    </row>
    <row r="14">
      <c r="B14" s="28" t="inlineStr">
        <is>
          <t>Realizado / meta</t>
        </is>
      </c>
      <c r="C14" s="30">
        <f>IF(C11="","",IFERROR(C11/C13,""))</f>
        <v/>
      </c>
      <c r="D14" s="30">
        <f>IF(D11="","",IFERROR(D11/D13,""))</f>
        <v/>
      </c>
      <c r="E14" s="30">
        <f>IF(E11="","",IFERROR(E11/E13,""))</f>
        <v/>
      </c>
      <c r="F14" s="30">
        <f>IF(F11="","",IFERROR(F11/F13,""))</f>
        <v/>
      </c>
      <c r="G14" s="30">
        <f>IF(G11="","",IFERROR(G11/G13,""))</f>
        <v/>
      </c>
      <c r="H14" s="30">
        <f>IF(H11="","",IFERROR(H11/H13,""))</f>
        <v/>
      </c>
      <c r="I14" s="30">
        <f>IF(I11="","",IFERROR(I11/I13,""))</f>
        <v/>
      </c>
      <c r="J14" s="30">
        <f>IF(J11="","",IFERROR(J11/J13,""))</f>
        <v/>
      </c>
      <c r="K14" s="30">
        <f>IF(K11="","",IFERROR(K11/K13,""))</f>
        <v/>
      </c>
      <c r="L14" s="30">
        <f>IF(L11="","",IFERROR(L11/L13,""))</f>
        <v/>
      </c>
      <c r="M14" s="30">
        <f>IF(M11="","",IFERROR(M11/M13,""))</f>
        <v/>
      </c>
      <c r="N14" s="30">
        <f>IF(N11="","",IFERROR(N11/N13,""))</f>
        <v/>
      </c>
      <c r="O14" s="30">
        <f>IFERROR(O11/O13,"")</f>
        <v/>
      </c>
    </row>
    <row r="15">
      <c r="B15" s="28" t="inlineStr">
        <is>
          <t>Limite de faturamento do ano</t>
        </is>
      </c>
      <c r="C15" s="29">
        <f>Dados!$AI$15</f>
        <v/>
      </c>
      <c r="D15" s="29">
        <f>Dados!$AI$15</f>
        <v/>
      </c>
      <c r="E15" s="29">
        <f>Dados!$AI$15</f>
        <v/>
      </c>
      <c r="F15" s="29">
        <f>Dados!$AI$15</f>
        <v/>
      </c>
      <c r="G15" s="29">
        <f>Dados!$AI$15</f>
        <v/>
      </c>
      <c r="H15" s="29">
        <f>Dados!$AI$15</f>
        <v/>
      </c>
      <c r="I15" s="29">
        <f>Dados!$AI$15</f>
        <v/>
      </c>
      <c r="J15" s="29">
        <f>Dados!$AI$15</f>
        <v/>
      </c>
      <c r="K15" s="29">
        <f>Dados!$AI$15</f>
        <v/>
      </c>
      <c r="L15" s="29">
        <f>Dados!$AI$15</f>
        <v/>
      </c>
      <c r="M15" s="29">
        <f>Dados!$AI$15</f>
        <v/>
      </c>
      <c r="N15" s="29">
        <f>Dados!$AI$15</f>
        <v/>
      </c>
      <c r="O15" s="29">
        <f>Dados!$AI$15</f>
        <v/>
      </c>
    </row>
    <row r="16">
      <c r="B16" s="28" t="inlineStr">
        <is>
          <t>Uso do limite</t>
        </is>
      </c>
      <c r="C16" s="30">
        <f>IF(C11="","",IFERROR(C11/C15,""))</f>
        <v/>
      </c>
      <c r="D16" s="30">
        <f>IF(D11="","",IFERROR(D11/D15,""))</f>
        <v/>
      </c>
      <c r="E16" s="30">
        <f>IF(E11="","",IFERROR(E11/E15,""))</f>
        <v/>
      </c>
      <c r="F16" s="30">
        <f>IF(F11="","",IFERROR(F11/F15,""))</f>
        <v/>
      </c>
      <c r="G16" s="30">
        <f>IF(G11="","",IFERROR(G11/G15,""))</f>
        <v/>
      </c>
      <c r="H16" s="30">
        <f>IF(H11="","",IFERROR(H11/H15,""))</f>
        <v/>
      </c>
      <c r="I16" s="30">
        <f>IF(I11="","",IFERROR(I11/I15,""))</f>
        <v/>
      </c>
      <c r="J16" s="30">
        <f>IF(J11="","",IFERROR(J11/J15,""))</f>
        <v/>
      </c>
      <c r="K16" s="30">
        <f>IF(K11="","",IFERROR(K11/K15,""))</f>
        <v/>
      </c>
      <c r="L16" s="30">
        <f>IF(L11="","",IFERROR(L11/L15,""))</f>
        <v/>
      </c>
      <c r="M16" s="30">
        <f>IF(M11="","",IFERROR(M11/M15,""))</f>
        <v/>
      </c>
      <c r="N16" s="30">
        <f>IF(N11="","",IFERROR(N11/N15,""))</f>
        <v/>
      </c>
      <c r="O16" s="30">
        <f>IFERROR(O11/O15,"")</f>
        <v/>
      </c>
    </row>
    <row r="17">
      <c r="B17" s="23" t="inlineStr">
        <is>
          <t>Meta: faturamento do ano anterior acrescido da meta de crescimento (aba Dados, parâmetros). Limite: teto de faturamento do ano.</t>
        </is>
      </c>
    </row>
    <row r="90" hidden="1">
      <c r="B90" s="23" t="inlineStr">
        <is>
          <t>Auxiliar do gráfico (linha 11)</t>
        </is>
      </c>
      <c r="C90" s="29">
        <f>IF(ISNUMBER(C11),C11,NA())</f>
        <v/>
      </c>
      <c r="D90" s="29">
        <f>IF(ISNUMBER(D11),D11,NA())</f>
        <v/>
      </c>
      <c r="E90" s="29">
        <f>IF(ISNUMBER(E11),E11,NA())</f>
        <v/>
      </c>
      <c r="F90" s="29">
        <f>IF(ISNUMBER(F11),F11,NA())</f>
        <v/>
      </c>
      <c r="G90" s="29">
        <f>IF(ISNUMBER(G11),G11,NA())</f>
        <v/>
      </c>
      <c r="H90" s="29">
        <f>IF(ISNUMBER(H11),H11,NA())</f>
        <v/>
      </c>
      <c r="I90" s="29">
        <f>IF(ISNUMBER(I11),I11,NA())</f>
        <v/>
      </c>
      <c r="J90" s="29">
        <f>IF(ISNUMBER(J11),J11,NA())</f>
        <v/>
      </c>
      <c r="K90" s="29">
        <f>IF(ISNUMBER(K11),K11,NA())</f>
        <v/>
      </c>
      <c r="L90" s="29">
        <f>IF(ISNUMBER(L11),L11,NA())</f>
        <v/>
      </c>
      <c r="M90" s="29">
        <f>IF(ISNUMBER(M11),M11,NA())</f>
        <v/>
      </c>
      <c r="N90" s="29">
        <f>IF(ISNUMBER(N11),N11,NA())</f>
        <v/>
      </c>
    </row>
  </sheetData>
  <conditionalFormatting sqref="C4:N4">
    <cfRule type="expression" priority="1" dxfId="1">
      <formula>COLUMN(C4)-2=Dados!$AI$6</formula>
    </cfRule>
  </conditionalFormatting>
  <conditionalFormatting sqref="C5:N16">
    <cfRule type="expression" priority="2" dxfId="3">
      <formula>COLUMN(C5)-2=Dados!$AI$6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&amp;L&amp;"Montserrat"&amp;8 AviZee · Workbook de Fechamento&amp;R&amp;"Montserrat"&amp;8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90500"/>
    <outlinePr summaryBelow="1" summaryRight="1"/>
    <pageSetUpPr fitToPage="1"/>
  </sheetPr>
  <dimension ref="B1:N16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30" customHeight="1">
      <c r="B1" s="24">
        <f>"Caixa · "&amp;Dados!$AI$7</f>
        <v/>
      </c>
    </row>
    <row r="2" ht="16" customHeight="1">
      <c r="B2" s="3" t="inlineStr">
        <is>
          <t>Do caixa inicial ao final; o ajuste ao extrato (informado − calculado pelo ERP) fica numa linha própria · R$</t>
        </is>
      </c>
    </row>
    <row r="3" ht="8" customHeight="1"/>
    <row r="4" ht="20" customHeight="1">
      <c r="B4" s="16" t="inlineStr">
        <is>
          <t>R$</t>
        </is>
      </c>
      <c r="C4" s="17" t="inlineStr">
        <is>
          <t>jan</t>
        </is>
      </c>
      <c r="D4" s="17" t="inlineStr">
        <is>
          <t>fev</t>
        </is>
      </c>
      <c r="E4" s="17" t="inlineStr">
        <is>
          <t>mar</t>
        </is>
      </c>
      <c r="F4" s="17" t="inlineStr">
        <is>
          <t>abr</t>
        </is>
      </c>
      <c r="G4" s="17" t="inlineStr">
        <is>
          <t>mai</t>
        </is>
      </c>
      <c r="H4" s="17" t="inlineStr">
        <is>
          <t>jun</t>
        </is>
      </c>
      <c r="I4" s="17" t="inlineStr">
        <is>
          <t>jul</t>
        </is>
      </c>
      <c r="J4" s="17" t="inlineStr">
        <is>
          <t>ago</t>
        </is>
      </c>
      <c r="K4" s="17" t="inlineStr">
        <is>
          <t>set</t>
        </is>
      </c>
      <c r="L4" s="17" t="inlineStr">
        <is>
          <t>out</t>
        </is>
      </c>
      <c r="M4" s="17" t="inlineStr">
        <is>
          <t>nov</t>
        </is>
      </c>
      <c r="N4" s="17" t="inlineStr">
        <is>
          <t>dez</t>
        </is>
      </c>
    </row>
    <row r="5">
      <c r="B5" s="28" t="inlineStr">
        <is>
          <t>Caixa inicial</t>
        </is>
      </c>
      <c r="C5" s="29">
        <f>IF(Dados!$C$30=1,Dados!$G$29,"")</f>
        <v/>
      </c>
      <c r="D5" s="29">
        <f>IF(Dados!$C$31=1,Dados!$G$30,"")</f>
        <v/>
      </c>
      <c r="E5" s="29">
        <f>IF(Dados!$C$32=1,Dados!$G$31,"")</f>
        <v/>
      </c>
      <c r="F5" s="29">
        <f>IF(Dados!$C$33=1,Dados!$G$32,"")</f>
        <v/>
      </c>
      <c r="G5" s="29">
        <f>IF(Dados!$C$34=1,Dados!$G$33,"")</f>
        <v/>
      </c>
      <c r="H5" s="29">
        <f>IF(Dados!$C$35=1,Dados!$G$34,"")</f>
        <v/>
      </c>
      <c r="I5" s="29">
        <f>IF(Dados!$C$36=1,Dados!$G$35,"")</f>
        <v/>
      </c>
      <c r="J5" s="29">
        <f>IF(Dados!$C$37=1,Dados!$G$36,"")</f>
        <v/>
      </c>
      <c r="K5" s="29">
        <f>IF(Dados!$C$38=1,Dados!$G$37,"")</f>
        <v/>
      </c>
      <c r="L5" s="29">
        <f>IF(Dados!$C$39=1,Dados!$G$38,"")</f>
        <v/>
      </c>
      <c r="M5" s="29">
        <f>IF(Dados!$C$40=1,Dados!$G$39,"")</f>
        <v/>
      </c>
      <c r="N5" s="29">
        <f>IF(Dados!$C$41=1,Dados!$G$40,"")</f>
        <v/>
      </c>
    </row>
    <row r="6">
      <c r="B6" s="18" t="inlineStr">
        <is>
          <t>+ Recebimentos</t>
        </is>
      </c>
      <c r="C6" s="20">
        <f>IF(Dados!$C$30=1,Dados!$D$30-Dados!$AG$30,"")</f>
        <v/>
      </c>
      <c r="D6" s="20">
        <f>IF(Dados!$C$31=1,Dados!$D$31-Dados!$AG$31,"")</f>
        <v/>
      </c>
      <c r="E6" s="20">
        <f>IF(Dados!$C$32=1,Dados!$D$32-Dados!$AG$32,"")</f>
        <v/>
      </c>
      <c r="F6" s="20">
        <f>IF(Dados!$C$33=1,Dados!$D$33-Dados!$AG$33,"")</f>
        <v/>
      </c>
      <c r="G6" s="20">
        <f>IF(Dados!$C$34=1,Dados!$D$34-Dados!$AG$34,"")</f>
        <v/>
      </c>
      <c r="H6" s="20">
        <f>IF(Dados!$C$35=1,Dados!$D$35-Dados!$AG$35,"")</f>
        <v/>
      </c>
      <c r="I6" s="20">
        <f>IF(Dados!$C$36=1,Dados!$D$36-Dados!$AG$36,"")</f>
        <v/>
      </c>
      <c r="J6" s="20">
        <f>IF(Dados!$C$37=1,Dados!$D$37-Dados!$AG$37,"")</f>
        <v/>
      </c>
      <c r="K6" s="20">
        <f>IF(Dados!$C$38=1,Dados!$D$38-Dados!$AG$38,"")</f>
        <v/>
      </c>
      <c r="L6" s="20">
        <f>IF(Dados!$C$39=1,Dados!$D$39-Dados!$AG$39,"")</f>
        <v/>
      </c>
      <c r="M6" s="20">
        <f>IF(Dados!$C$40=1,Dados!$D$40-Dados!$AG$40,"")</f>
        <v/>
      </c>
      <c r="N6" s="20">
        <f>IF(Dados!$C$41=1,Dados!$D$41-Dados!$AG$41,"")</f>
        <v/>
      </c>
    </row>
    <row r="7">
      <c r="B7" s="18" t="inlineStr">
        <is>
          <t>+ Rendimentos de aplicações</t>
        </is>
      </c>
      <c r="C7" s="20">
        <f>IF(Dados!$C$30=1,Dados!$AG$30,"")</f>
        <v/>
      </c>
      <c r="D7" s="20">
        <f>IF(Dados!$C$31=1,Dados!$AG$31,"")</f>
        <v/>
      </c>
      <c r="E7" s="20">
        <f>IF(Dados!$C$32=1,Dados!$AG$32,"")</f>
        <v/>
      </c>
      <c r="F7" s="20">
        <f>IF(Dados!$C$33=1,Dados!$AG$33,"")</f>
        <v/>
      </c>
      <c r="G7" s="20">
        <f>IF(Dados!$C$34=1,Dados!$AG$34,"")</f>
        <v/>
      </c>
      <c r="H7" s="20">
        <f>IF(Dados!$C$35=1,Dados!$AG$35,"")</f>
        <v/>
      </c>
      <c r="I7" s="20">
        <f>IF(Dados!$C$36=1,Dados!$AG$36,"")</f>
        <v/>
      </c>
      <c r="J7" s="20">
        <f>IF(Dados!$C$37=1,Dados!$AG$37,"")</f>
        <v/>
      </c>
      <c r="K7" s="20">
        <f>IF(Dados!$C$38=1,Dados!$AG$38,"")</f>
        <v/>
      </c>
      <c r="L7" s="20">
        <f>IF(Dados!$C$39=1,Dados!$AG$39,"")</f>
        <v/>
      </c>
      <c r="M7" s="20">
        <f>IF(Dados!$C$40=1,Dados!$AG$40,"")</f>
        <v/>
      </c>
      <c r="N7" s="20">
        <f>IF(Dados!$C$41=1,Dados!$AG$41,"")</f>
        <v/>
      </c>
    </row>
    <row r="8">
      <c r="B8" s="18" t="inlineStr">
        <is>
          <t>− Pago</t>
        </is>
      </c>
      <c r="C8" s="20">
        <f>IF(Dados!$C$30=1,-Dados!$E$30,"")</f>
        <v/>
      </c>
      <c r="D8" s="20">
        <f>IF(Dados!$C$31=1,-Dados!$E$31,"")</f>
        <v/>
      </c>
      <c r="E8" s="20">
        <f>IF(Dados!$C$32=1,-Dados!$E$32,"")</f>
        <v/>
      </c>
      <c r="F8" s="20">
        <f>IF(Dados!$C$33=1,-Dados!$E$33,"")</f>
        <v/>
      </c>
      <c r="G8" s="20">
        <f>IF(Dados!$C$34=1,-Dados!$E$34,"")</f>
        <v/>
      </c>
      <c r="H8" s="20">
        <f>IF(Dados!$C$35=1,-Dados!$E$35,"")</f>
        <v/>
      </c>
      <c r="I8" s="20">
        <f>IF(Dados!$C$36=1,-Dados!$E$36,"")</f>
        <v/>
      </c>
      <c r="J8" s="20">
        <f>IF(Dados!$C$37=1,-Dados!$E$37,"")</f>
        <v/>
      </c>
      <c r="K8" s="20">
        <f>IF(Dados!$C$38=1,-Dados!$E$38,"")</f>
        <v/>
      </c>
      <c r="L8" s="20">
        <f>IF(Dados!$C$39=1,-Dados!$E$39,"")</f>
        <v/>
      </c>
      <c r="M8" s="20">
        <f>IF(Dados!$C$40=1,-Dados!$E$40,"")</f>
        <v/>
      </c>
      <c r="N8" s="20">
        <f>IF(Dados!$C$41=1,-Dados!$E$41,"")</f>
        <v/>
      </c>
    </row>
    <row r="9">
      <c r="B9" s="18" t="inlineStr">
        <is>
          <t>± Ajuste ao extrato</t>
        </is>
      </c>
      <c r="C9" s="20">
        <f>IF(Dados!$C$30=1,Dados!$I$30,"")</f>
        <v/>
      </c>
      <c r="D9" s="20">
        <f>IF(Dados!$C$31=1,Dados!$I$31,"")</f>
        <v/>
      </c>
      <c r="E9" s="20">
        <f>IF(Dados!$C$32=1,Dados!$I$32,"")</f>
        <v/>
      </c>
      <c r="F9" s="20">
        <f>IF(Dados!$C$33=1,Dados!$I$33,"")</f>
        <v/>
      </c>
      <c r="G9" s="20">
        <f>IF(Dados!$C$34=1,Dados!$I$34,"")</f>
        <v/>
      </c>
      <c r="H9" s="20">
        <f>IF(Dados!$C$35=1,Dados!$I$35,"")</f>
        <v/>
      </c>
      <c r="I9" s="20">
        <f>IF(Dados!$C$36=1,Dados!$I$36,"")</f>
        <v/>
      </c>
      <c r="J9" s="20">
        <f>IF(Dados!$C$37=1,Dados!$I$37,"")</f>
        <v/>
      </c>
      <c r="K9" s="20">
        <f>IF(Dados!$C$38=1,Dados!$I$38,"")</f>
        <v/>
      </c>
      <c r="L9" s="20">
        <f>IF(Dados!$C$39=1,Dados!$I$39,"")</f>
        <v/>
      </c>
      <c r="M9" s="20">
        <f>IF(Dados!$C$40=1,Dados!$I$40,"")</f>
        <v/>
      </c>
      <c r="N9" s="20">
        <f>IF(Dados!$C$41=1,Dados!$I$41,"")</f>
        <v/>
      </c>
    </row>
    <row r="10">
      <c r="B10" s="26" t="inlineStr">
        <is>
          <t>Caixa final</t>
        </is>
      </c>
      <c r="C10" s="27">
        <f>IF(Dados!$C$30=1,Dados!$G$30,"")</f>
        <v/>
      </c>
      <c r="D10" s="27">
        <f>IF(Dados!$C$31=1,Dados!$G$31,"")</f>
        <v/>
      </c>
      <c r="E10" s="27">
        <f>IF(Dados!$C$32=1,Dados!$G$32,"")</f>
        <v/>
      </c>
      <c r="F10" s="27">
        <f>IF(Dados!$C$33=1,Dados!$G$33,"")</f>
        <v/>
      </c>
      <c r="G10" s="27">
        <f>IF(Dados!$C$34=1,Dados!$G$34,"")</f>
        <v/>
      </c>
      <c r="H10" s="27">
        <f>IF(Dados!$C$35=1,Dados!$G$35,"")</f>
        <v/>
      </c>
      <c r="I10" s="27">
        <f>IF(Dados!$C$36=1,Dados!$G$36,"")</f>
        <v/>
      </c>
      <c r="J10" s="27">
        <f>IF(Dados!$C$37=1,Dados!$G$37,"")</f>
        <v/>
      </c>
      <c r="K10" s="27">
        <f>IF(Dados!$C$38=1,Dados!$G$38,"")</f>
        <v/>
      </c>
      <c r="L10" s="27">
        <f>IF(Dados!$C$39=1,Dados!$G$39,"")</f>
        <v/>
      </c>
      <c r="M10" s="27">
        <f>IF(Dados!$C$40=1,Dados!$G$40,"")</f>
        <v/>
      </c>
      <c r="N10" s="27">
        <f>IF(Dados!$C$41=1,Dados!$G$41,"")</f>
        <v/>
      </c>
    </row>
    <row r="11">
      <c r="B11" s="28" t="inlineStr">
        <is>
          <t>bloqueado em garantia</t>
        </is>
      </c>
      <c r="C11" s="29">
        <f>IF(Dados!$C$30=1,Dados!$J$30,"")</f>
        <v/>
      </c>
      <c r="D11" s="29">
        <f>IF(Dados!$C$31=1,Dados!$J$31,"")</f>
        <v/>
      </c>
      <c r="E11" s="29">
        <f>IF(Dados!$C$32=1,Dados!$J$32,"")</f>
        <v/>
      </c>
      <c r="F11" s="29">
        <f>IF(Dados!$C$33=1,Dados!$J$33,"")</f>
        <v/>
      </c>
      <c r="G11" s="29">
        <f>IF(Dados!$C$34=1,Dados!$J$34,"")</f>
        <v/>
      </c>
      <c r="H11" s="29">
        <f>IF(Dados!$C$35=1,Dados!$J$35,"")</f>
        <v/>
      </c>
      <c r="I11" s="29">
        <f>IF(Dados!$C$36=1,Dados!$J$36,"")</f>
        <v/>
      </c>
      <c r="J11" s="29">
        <f>IF(Dados!$C$37=1,Dados!$J$37,"")</f>
        <v/>
      </c>
      <c r="K11" s="29">
        <f>IF(Dados!$C$38=1,Dados!$J$38,"")</f>
        <v/>
      </c>
      <c r="L11" s="29">
        <f>IF(Dados!$C$39=1,Dados!$J$39,"")</f>
        <v/>
      </c>
      <c r="M11" s="29">
        <f>IF(Dados!$C$40=1,Dados!$J$40,"")</f>
        <v/>
      </c>
      <c r="N11" s="29">
        <f>IF(Dados!$C$41=1,Dados!$J$41,"")</f>
        <v/>
      </c>
    </row>
    <row r="12">
      <c r="B12" s="33" t="inlineStr">
        <is>
          <t>disponível</t>
        </is>
      </c>
      <c r="C12" s="20">
        <f>IF(Dados!$C$30=1,Dados!$G$30-Dados!$J$30,"")</f>
        <v/>
      </c>
      <c r="D12" s="20">
        <f>IF(Dados!$C$31=1,Dados!$G$31-Dados!$J$31,"")</f>
        <v/>
      </c>
      <c r="E12" s="20">
        <f>IF(Dados!$C$32=1,Dados!$G$32-Dados!$J$32,"")</f>
        <v/>
      </c>
      <c r="F12" s="20">
        <f>IF(Dados!$C$33=1,Dados!$G$33-Dados!$J$33,"")</f>
        <v/>
      </c>
      <c r="G12" s="20">
        <f>IF(Dados!$C$34=1,Dados!$G$34-Dados!$J$34,"")</f>
        <v/>
      </c>
      <c r="H12" s="20">
        <f>IF(Dados!$C$35=1,Dados!$G$35-Dados!$J$35,"")</f>
        <v/>
      </c>
      <c r="I12" s="20">
        <f>IF(Dados!$C$36=1,Dados!$G$36-Dados!$J$36,"")</f>
        <v/>
      </c>
      <c r="J12" s="20">
        <f>IF(Dados!$C$37=1,Dados!$G$37-Dados!$J$37,"")</f>
        <v/>
      </c>
      <c r="K12" s="20">
        <f>IF(Dados!$C$38=1,Dados!$G$38-Dados!$J$38,"")</f>
        <v/>
      </c>
      <c r="L12" s="20">
        <f>IF(Dados!$C$39=1,Dados!$G$39-Dados!$J$39,"")</f>
        <v/>
      </c>
      <c r="M12" s="20">
        <f>IF(Dados!$C$40=1,Dados!$G$40-Dados!$J$40,"")</f>
        <v/>
      </c>
      <c r="N12" s="20">
        <f>IF(Dados!$C$41=1,Dados!$G$41-Dados!$J$41,"")</f>
        <v/>
      </c>
    </row>
    <row r="13">
      <c r="B13" s="28" t="inlineStr">
        <is>
          <t>Meses de despesa cobertos</t>
        </is>
      </c>
      <c r="C13" s="34">
        <f>IF(Dados!$C$30=1,IFERROR(C12/AVERAGE(Dados!$E$28:$E$30),""),"")</f>
        <v/>
      </c>
      <c r="D13" s="34">
        <f>IF(Dados!$C$31=1,IFERROR(D12/AVERAGE(Dados!$E$29:$E$31),""),"")</f>
        <v/>
      </c>
      <c r="E13" s="34">
        <f>IF(Dados!$C$32=1,IFERROR(E12/AVERAGE(Dados!$E$30:$E$32),""),"")</f>
        <v/>
      </c>
      <c r="F13" s="34">
        <f>IF(Dados!$C$33=1,IFERROR(F12/AVERAGE(Dados!$E$31:$E$33),""),"")</f>
        <v/>
      </c>
      <c r="G13" s="34">
        <f>IF(Dados!$C$34=1,IFERROR(G12/AVERAGE(Dados!$E$32:$E$34),""),"")</f>
        <v/>
      </c>
      <c r="H13" s="34">
        <f>IF(Dados!$C$35=1,IFERROR(H12/AVERAGE(Dados!$E$33:$E$35),""),"")</f>
        <v/>
      </c>
      <c r="I13" s="34">
        <f>IF(Dados!$C$36=1,IFERROR(I12/AVERAGE(Dados!$E$34:$E$36),""),"")</f>
        <v/>
      </c>
      <c r="J13" s="34">
        <f>IF(Dados!$C$37=1,IFERROR(J12/AVERAGE(Dados!$E$35:$E$37),""),"")</f>
        <v/>
      </c>
      <c r="K13" s="34">
        <f>IF(Dados!$C$38=1,IFERROR(K12/AVERAGE(Dados!$E$36:$E$38),""),"")</f>
        <v/>
      </c>
      <c r="L13" s="34">
        <f>IF(Dados!$C$39=1,IFERROR(L12/AVERAGE(Dados!$E$37:$E$39),""),"")</f>
        <v/>
      </c>
      <c r="M13" s="34">
        <f>IF(Dados!$C$40=1,IFERROR(M12/AVERAGE(Dados!$E$38:$E$40),""),"")</f>
        <v/>
      </c>
      <c r="N13" s="34">
        <f>IF(Dados!$C$41=1,IFERROR(N12/AVERAGE(Dados!$E$39:$E$41),""),"")</f>
        <v/>
      </c>
    </row>
    <row r="14">
      <c r="B14" s="28" t="inlineStr">
        <is>
          <t>Caixa final do ano anterior</t>
        </is>
      </c>
      <c r="C14" s="29">
        <f>IF(Dados!$C$18=1,Dados!$G$18,"")</f>
        <v/>
      </c>
      <c r="D14" s="29">
        <f>IF(Dados!$C$19=1,Dados!$G$19,"")</f>
        <v/>
      </c>
      <c r="E14" s="29">
        <f>IF(Dados!$C$20=1,Dados!$G$20,"")</f>
        <v/>
      </c>
      <c r="F14" s="29">
        <f>IF(Dados!$C$21=1,Dados!$G$21,"")</f>
        <v/>
      </c>
      <c r="G14" s="29">
        <f>IF(Dados!$C$22=1,Dados!$G$22,"")</f>
        <v/>
      </c>
      <c r="H14" s="29">
        <f>IF(Dados!$C$23=1,Dados!$G$23,"")</f>
        <v/>
      </c>
      <c r="I14" s="29">
        <f>IF(Dados!$C$24=1,Dados!$G$24,"")</f>
        <v/>
      </c>
      <c r="J14" s="29">
        <f>IF(Dados!$C$25=1,Dados!$G$25,"")</f>
        <v/>
      </c>
      <c r="K14" s="29">
        <f>IF(Dados!$C$26=1,Dados!$G$26,"")</f>
        <v/>
      </c>
      <c r="L14" s="29">
        <f>IF(Dados!$C$27=1,Dados!$G$27,"")</f>
        <v/>
      </c>
      <c r="M14" s="29">
        <f>IF(Dados!$C$28=1,Dados!$G$28,"")</f>
        <v/>
      </c>
      <c r="N14" s="29">
        <f>IF(Dados!$C$29=1,Dados!$G$29,"")</f>
        <v/>
      </c>
    </row>
    <row r="15">
      <c r="B15" s="28" t="inlineStr">
        <is>
          <t>Diferença na ponte (deve ser zero)</t>
        </is>
      </c>
      <c r="C15" s="29">
        <f>IF(C10="","",ROUND(C5+C6+C7+C8+C9-C10,2))</f>
        <v/>
      </c>
      <c r="D15" s="29">
        <f>IF(D10="","",ROUND(D5+D6+D7+D8+D9-D10,2))</f>
        <v/>
      </c>
      <c r="E15" s="29">
        <f>IF(E10="","",ROUND(E5+E6+E7+E8+E9-E10,2))</f>
        <v/>
      </c>
      <c r="F15" s="29">
        <f>IF(F10="","",ROUND(F5+F6+F7+F8+F9-F10,2))</f>
        <v/>
      </c>
      <c r="G15" s="29">
        <f>IF(G10="","",ROUND(G5+G6+G7+G8+G9-G10,2))</f>
        <v/>
      </c>
      <c r="H15" s="29">
        <f>IF(H10="","",ROUND(H5+H6+H7+H8+H9-H10,2))</f>
        <v/>
      </c>
      <c r="I15" s="29">
        <f>IF(I10="","",ROUND(I5+I6+I7+I8+I9-I10,2))</f>
        <v/>
      </c>
      <c r="J15" s="29">
        <f>IF(J10="","",ROUND(J5+J6+J7+J8+J9-J10,2))</f>
        <v/>
      </c>
      <c r="K15" s="29">
        <f>IF(K10="","",ROUND(K5+K6+K7+K8+K9-K10,2))</f>
        <v/>
      </c>
      <c r="L15" s="29">
        <f>IF(L10="","",ROUND(L5+L6+L7+L8+L9-L10,2))</f>
        <v/>
      </c>
      <c r="M15" s="29">
        <f>IF(M10="","",ROUND(M5+M6+M7+M8+M9-M10,2))</f>
        <v/>
      </c>
      <c r="N15" s="29">
        <f>IF(N10="","",ROUND(N5+N6+N7+N8+N9-N10,2))</f>
        <v/>
      </c>
    </row>
    <row r="16">
      <c r="B16" s="23" t="inlineStr">
        <is>
          <t>Meses de despesa cobertos: caixa disponível ÷ média do pago nos últimos 3 meses. Rendimentos: CDB, reserva remunerada e CDI informados no fechamento.</t>
        </is>
      </c>
    </row>
  </sheetData>
  <conditionalFormatting sqref="C4:N4">
    <cfRule type="expression" priority="1" dxfId="1">
      <formula>COLUMN(C4)-2=Dados!$AI$6</formula>
    </cfRule>
  </conditionalFormatting>
  <conditionalFormatting sqref="C5:N15">
    <cfRule type="expression" priority="2" dxfId="3">
      <formula>COLUMN(C5)-2=Dados!$AI$6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&amp;L&amp;"Montserrat"&amp;8 AviZee · Workbook de Fechamento&amp;R&amp;"Montserrat"&amp;8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90500"/>
    <outlinePr summaryBelow="1" summaryRight="1"/>
    <pageSetUpPr fitToPage="1"/>
  </sheetPr>
  <dimension ref="B1:Q4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1.5" customWidth="1" min="15" max="15"/>
    <col width="8" customWidth="1" min="16" max="16"/>
    <col width="11.5" customWidth="1" min="17" max="17"/>
  </cols>
  <sheetData>
    <row r="1" ht="30" customHeight="1">
      <c r="B1" s="24">
        <f>"Despesas por categoria · "&amp;Dados!$AI$7</f>
        <v/>
      </c>
    </row>
    <row r="2" ht="16" customHeight="1">
      <c r="B2" s="3" t="inlineStr">
        <is>
          <t>Pagamentos do mês por categoria (mesma base do pago em Resultado) e os maiores fornecedores pagos no mês · R$</t>
        </is>
      </c>
    </row>
    <row r="3" ht="8" customHeight="1"/>
    <row r="4" ht="20" customHeight="1">
      <c r="B4" s="16" t="inlineStr">
        <is>
          <t>Categoria</t>
        </is>
      </c>
      <c r="C4" s="17" t="inlineStr">
        <is>
          <t>jan</t>
        </is>
      </c>
      <c r="D4" s="17" t="inlineStr">
        <is>
          <t>fev</t>
        </is>
      </c>
      <c r="E4" s="17" t="inlineStr">
        <is>
          <t>mar</t>
        </is>
      </c>
      <c r="F4" s="17" t="inlineStr">
        <is>
          <t>abr</t>
        </is>
      </c>
      <c r="G4" s="17" t="inlineStr">
        <is>
          <t>mai</t>
        </is>
      </c>
      <c r="H4" s="17" t="inlineStr">
        <is>
          <t>jun</t>
        </is>
      </c>
      <c r="I4" s="17" t="inlineStr">
        <is>
          <t>jul</t>
        </is>
      </c>
      <c r="J4" s="17" t="inlineStr">
        <is>
          <t>ago</t>
        </is>
      </c>
      <c r="K4" s="17" t="inlineStr">
        <is>
          <t>set</t>
        </is>
      </c>
      <c r="L4" s="17" t="inlineStr">
        <is>
          <t>out</t>
        </is>
      </c>
      <c r="M4" s="17" t="inlineStr">
        <is>
          <t>nov</t>
        </is>
      </c>
      <c r="N4" s="17" t="inlineStr">
        <is>
          <t>dez</t>
        </is>
      </c>
      <c r="O4" s="17" t="inlineStr">
        <is>
          <t>Ano</t>
        </is>
      </c>
      <c r="P4" s="17" t="inlineStr">
        <is>
          <t>% do ano</t>
        </is>
      </c>
      <c r="Q4" s="17">
        <f>"Em "&amp;(Dados!$AI$7-1)</f>
        <v/>
      </c>
    </row>
    <row r="5">
      <c r="B5" s="18">
        <f>IF(Dados!$AQ$5="","",Dados!$AQ$5)</f>
        <v/>
      </c>
      <c r="C5" s="20">
        <f>IF($B5="","",IF(Dados!$C$30=1,SUMIFS(Dados!$F$47:$F$4000,Dados!$C$47:$C$4000,"Despesa",Dados!$D$47:$D$4000,$B5,Dados!$A$47:$A$4000,Dados!$A$30),""))</f>
        <v/>
      </c>
      <c r="D5" s="20">
        <f>IF($B5="","",IF(Dados!$C$31=1,SUMIFS(Dados!$F$47:$F$4000,Dados!$C$47:$C$4000,"Despesa",Dados!$D$47:$D$4000,$B5,Dados!$A$47:$A$4000,Dados!$A$31),""))</f>
        <v/>
      </c>
      <c r="E5" s="20">
        <f>IF($B5="","",IF(Dados!$C$32=1,SUMIFS(Dados!$F$47:$F$4000,Dados!$C$47:$C$4000,"Despesa",Dados!$D$47:$D$4000,$B5,Dados!$A$47:$A$4000,Dados!$A$32),""))</f>
        <v/>
      </c>
      <c r="F5" s="20">
        <f>IF($B5="","",IF(Dados!$C$33=1,SUMIFS(Dados!$F$47:$F$4000,Dados!$C$47:$C$4000,"Despesa",Dados!$D$47:$D$4000,$B5,Dados!$A$47:$A$4000,Dados!$A$33),""))</f>
        <v/>
      </c>
      <c r="G5" s="20">
        <f>IF($B5="","",IF(Dados!$C$34=1,SUMIFS(Dados!$F$47:$F$4000,Dados!$C$47:$C$4000,"Despesa",Dados!$D$47:$D$4000,$B5,Dados!$A$47:$A$4000,Dados!$A$34),""))</f>
        <v/>
      </c>
      <c r="H5" s="20">
        <f>IF($B5="","",IF(Dados!$C$35=1,SUMIFS(Dados!$F$47:$F$4000,Dados!$C$47:$C$4000,"Despesa",Dados!$D$47:$D$4000,$B5,Dados!$A$47:$A$4000,Dados!$A$35),""))</f>
        <v/>
      </c>
      <c r="I5" s="20">
        <f>IF($B5="","",IF(Dados!$C$36=1,SUMIFS(Dados!$F$47:$F$4000,Dados!$C$47:$C$4000,"Despesa",Dados!$D$47:$D$4000,$B5,Dados!$A$47:$A$4000,Dados!$A$36),""))</f>
        <v/>
      </c>
      <c r="J5" s="20">
        <f>IF($B5="","",IF(Dados!$C$37=1,SUMIFS(Dados!$F$47:$F$4000,Dados!$C$47:$C$4000,"Despesa",Dados!$D$47:$D$4000,$B5,Dados!$A$47:$A$4000,Dados!$A$37),""))</f>
        <v/>
      </c>
      <c r="K5" s="20">
        <f>IF($B5="","",IF(Dados!$C$38=1,SUMIFS(Dados!$F$47:$F$4000,Dados!$C$47:$C$4000,"Despesa",Dados!$D$47:$D$4000,$B5,Dados!$A$47:$A$4000,Dados!$A$38),""))</f>
        <v/>
      </c>
      <c r="L5" s="20">
        <f>IF($B5="","",IF(Dados!$C$39=1,SUMIFS(Dados!$F$47:$F$4000,Dados!$C$47:$C$4000,"Despesa",Dados!$D$47:$D$4000,$B5,Dados!$A$47:$A$4000,Dados!$A$39),""))</f>
        <v/>
      </c>
      <c r="M5" s="20">
        <f>IF($B5="","",IF(Dados!$C$40=1,SUMIFS(Dados!$F$47:$F$4000,Dados!$C$47:$C$4000,"Despesa",Dados!$D$47:$D$4000,$B5,Dados!$A$47:$A$4000,Dados!$A$40),""))</f>
        <v/>
      </c>
      <c r="N5" s="20">
        <f>IF($B5="","",IF(Dados!$C$41=1,SUMIFS(Dados!$F$47:$F$4000,Dados!$C$47:$C$4000,"Despesa",Dados!$D$47:$D$4000,$B5,Dados!$A$47:$A$4000,Dados!$A$41),""))</f>
        <v/>
      </c>
      <c r="O5" s="20">
        <f>IF($B5="","",SUM(C5:N5))</f>
        <v/>
      </c>
      <c r="P5" s="30">
        <f>IF($B5="","",IFERROR(O5/$O$30,""))</f>
        <v/>
      </c>
      <c r="Q5" s="29">
        <f>IF($B5="","",SUMIFS(Dados!$F$47:$F$4000,Dados!$C$47:$C$4000,"Despesa",Dados!$D$47:$D$4000,$B5,Dados!$A$47:$A$4000,"&gt;="&amp;Dados!$A$18,Dados!$A$47:$A$4000,"&lt;="&amp;Dados!$A$29))</f>
        <v/>
      </c>
    </row>
    <row r="6">
      <c r="B6" s="18">
        <f>IF(Dados!$AQ$6="","",Dados!$AQ$6)</f>
        <v/>
      </c>
      <c r="C6" s="20">
        <f>IF($B6="","",IF(Dados!$C$30=1,SUMIFS(Dados!$F$47:$F$4000,Dados!$C$47:$C$4000,"Despesa",Dados!$D$47:$D$4000,$B6,Dados!$A$47:$A$4000,Dados!$A$30),""))</f>
        <v/>
      </c>
      <c r="D6" s="20">
        <f>IF($B6="","",IF(Dados!$C$31=1,SUMIFS(Dados!$F$47:$F$4000,Dados!$C$47:$C$4000,"Despesa",Dados!$D$47:$D$4000,$B6,Dados!$A$47:$A$4000,Dados!$A$31),""))</f>
        <v/>
      </c>
      <c r="E6" s="20">
        <f>IF($B6="","",IF(Dados!$C$32=1,SUMIFS(Dados!$F$47:$F$4000,Dados!$C$47:$C$4000,"Despesa",Dados!$D$47:$D$4000,$B6,Dados!$A$47:$A$4000,Dados!$A$32),""))</f>
        <v/>
      </c>
      <c r="F6" s="20">
        <f>IF($B6="","",IF(Dados!$C$33=1,SUMIFS(Dados!$F$47:$F$4000,Dados!$C$47:$C$4000,"Despesa",Dados!$D$47:$D$4000,$B6,Dados!$A$47:$A$4000,Dados!$A$33),""))</f>
        <v/>
      </c>
      <c r="G6" s="20">
        <f>IF($B6="","",IF(Dados!$C$34=1,SUMIFS(Dados!$F$47:$F$4000,Dados!$C$47:$C$4000,"Despesa",Dados!$D$47:$D$4000,$B6,Dados!$A$47:$A$4000,Dados!$A$34),""))</f>
        <v/>
      </c>
      <c r="H6" s="20">
        <f>IF($B6="","",IF(Dados!$C$35=1,SUMIFS(Dados!$F$47:$F$4000,Dados!$C$47:$C$4000,"Despesa",Dados!$D$47:$D$4000,$B6,Dados!$A$47:$A$4000,Dados!$A$35),""))</f>
        <v/>
      </c>
      <c r="I6" s="20">
        <f>IF($B6="","",IF(Dados!$C$36=1,SUMIFS(Dados!$F$47:$F$4000,Dados!$C$47:$C$4000,"Despesa",Dados!$D$47:$D$4000,$B6,Dados!$A$47:$A$4000,Dados!$A$36),""))</f>
        <v/>
      </c>
      <c r="J6" s="20">
        <f>IF($B6="","",IF(Dados!$C$37=1,SUMIFS(Dados!$F$47:$F$4000,Dados!$C$47:$C$4000,"Despesa",Dados!$D$47:$D$4000,$B6,Dados!$A$47:$A$4000,Dados!$A$37),""))</f>
        <v/>
      </c>
      <c r="K6" s="20">
        <f>IF($B6="","",IF(Dados!$C$38=1,SUMIFS(Dados!$F$47:$F$4000,Dados!$C$47:$C$4000,"Despesa",Dados!$D$47:$D$4000,$B6,Dados!$A$47:$A$4000,Dados!$A$38),""))</f>
        <v/>
      </c>
      <c r="L6" s="20">
        <f>IF($B6="","",IF(Dados!$C$39=1,SUMIFS(Dados!$F$47:$F$4000,Dados!$C$47:$C$4000,"Despesa",Dados!$D$47:$D$4000,$B6,Dados!$A$47:$A$4000,Dados!$A$39),""))</f>
        <v/>
      </c>
      <c r="M6" s="20">
        <f>IF($B6="","",IF(Dados!$C$40=1,SUMIFS(Dados!$F$47:$F$4000,Dados!$C$47:$C$4000,"Despesa",Dados!$D$47:$D$4000,$B6,Dados!$A$47:$A$4000,Dados!$A$40),""))</f>
        <v/>
      </c>
      <c r="N6" s="20">
        <f>IF($B6="","",IF(Dados!$C$41=1,SUMIFS(Dados!$F$47:$F$4000,Dados!$C$47:$C$4000,"Despesa",Dados!$D$47:$D$4000,$B6,Dados!$A$47:$A$4000,Dados!$A$41),""))</f>
        <v/>
      </c>
      <c r="O6" s="20">
        <f>IF($B6="","",SUM(C6:N6))</f>
        <v/>
      </c>
      <c r="P6" s="30">
        <f>IF($B6="","",IFERROR(O6/$O$30,""))</f>
        <v/>
      </c>
      <c r="Q6" s="29">
        <f>IF($B6="","",SUMIFS(Dados!$F$47:$F$4000,Dados!$C$47:$C$4000,"Despesa",Dados!$D$47:$D$4000,$B6,Dados!$A$47:$A$4000,"&gt;="&amp;Dados!$A$18,Dados!$A$47:$A$4000,"&lt;="&amp;Dados!$A$29))</f>
        <v/>
      </c>
    </row>
    <row r="7">
      <c r="B7" s="18">
        <f>IF(Dados!$AQ$7="","",Dados!$AQ$7)</f>
        <v/>
      </c>
      <c r="C7" s="20">
        <f>IF($B7="","",IF(Dados!$C$30=1,SUMIFS(Dados!$F$47:$F$4000,Dados!$C$47:$C$4000,"Despesa",Dados!$D$47:$D$4000,$B7,Dados!$A$47:$A$4000,Dados!$A$30),""))</f>
        <v/>
      </c>
      <c r="D7" s="20">
        <f>IF($B7="","",IF(Dados!$C$31=1,SUMIFS(Dados!$F$47:$F$4000,Dados!$C$47:$C$4000,"Despesa",Dados!$D$47:$D$4000,$B7,Dados!$A$47:$A$4000,Dados!$A$31),""))</f>
        <v/>
      </c>
      <c r="E7" s="20">
        <f>IF($B7="","",IF(Dados!$C$32=1,SUMIFS(Dados!$F$47:$F$4000,Dados!$C$47:$C$4000,"Despesa",Dados!$D$47:$D$4000,$B7,Dados!$A$47:$A$4000,Dados!$A$32),""))</f>
        <v/>
      </c>
      <c r="F7" s="20">
        <f>IF($B7="","",IF(Dados!$C$33=1,SUMIFS(Dados!$F$47:$F$4000,Dados!$C$47:$C$4000,"Despesa",Dados!$D$47:$D$4000,$B7,Dados!$A$47:$A$4000,Dados!$A$33),""))</f>
        <v/>
      </c>
      <c r="G7" s="20">
        <f>IF($B7="","",IF(Dados!$C$34=1,SUMIFS(Dados!$F$47:$F$4000,Dados!$C$47:$C$4000,"Despesa",Dados!$D$47:$D$4000,$B7,Dados!$A$47:$A$4000,Dados!$A$34),""))</f>
        <v/>
      </c>
      <c r="H7" s="20">
        <f>IF($B7="","",IF(Dados!$C$35=1,SUMIFS(Dados!$F$47:$F$4000,Dados!$C$47:$C$4000,"Despesa",Dados!$D$47:$D$4000,$B7,Dados!$A$47:$A$4000,Dados!$A$35),""))</f>
        <v/>
      </c>
      <c r="I7" s="20">
        <f>IF($B7="","",IF(Dados!$C$36=1,SUMIFS(Dados!$F$47:$F$4000,Dados!$C$47:$C$4000,"Despesa",Dados!$D$47:$D$4000,$B7,Dados!$A$47:$A$4000,Dados!$A$36),""))</f>
        <v/>
      </c>
      <c r="J7" s="20">
        <f>IF($B7="","",IF(Dados!$C$37=1,SUMIFS(Dados!$F$47:$F$4000,Dados!$C$47:$C$4000,"Despesa",Dados!$D$47:$D$4000,$B7,Dados!$A$47:$A$4000,Dados!$A$37),""))</f>
        <v/>
      </c>
      <c r="K7" s="20">
        <f>IF($B7="","",IF(Dados!$C$38=1,SUMIFS(Dados!$F$47:$F$4000,Dados!$C$47:$C$4000,"Despesa",Dados!$D$47:$D$4000,$B7,Dados!$A$47:$A$4000,Dados!$A$38),""))</f>
        <v/>
      </c>
      <c r="L7" s="20">
        <f>IF($B7="","",IF(Dados!$C$39=1,SUMIFS(Dados!$F$47:$F$4000,Dados!$C$47:$C$4000,"Despesa",Dados!$D$47:$D$4000,$B7,Dados!$A$47:$A$4000,Dados!$A$39),""))</f>
        <v/>
      </c>
      <c r="M7" s="20">
        <f>IF($B7="","",IF(Dados!$C$40=1,SUMIFS(Dados!$F$47:$F$4000,Dados!$C$47:$C$4000,"Despesa",Dados!$D$47:$D$4000,$B7,Dados!$A$47:$A$4000,Dados!$A$40),""))</f>
        <v/>
      </c>
      <c r="N7" s="20">
        <f>IF($B7="","",IF(Dados!$C$41=1,SUMIFS(Dados!$F$47:$F$4000,Dados!$C$47:$C$4000,"Despesa",Dados!$D$47:$D$4000,$B7,Dados!$A$47:$A$4000,Dados!$A$41),""))</f>
        <v/>
      </c>
      <c r="O7" s="20">
        <f>IF($B7="","",SUM(C7:N7))</f>
        <v/>
      </c>
      <c r="P7" s="30">
        <f>IF($B7="","",IFERROR(O7/$O$30,""))</f>
        <v/>
      </c>
      <c r="Q7" s="29">
        <f>IF($B7="","",SUMIFS(Dados!$F$47:$F$4000,Dados!$C$47:$C$4000,"Despesa",Dados!$D$47:$D$4000,$B7,Dados!$A$47:$A$4000,"&gt;="&amp;Dados!$A$18,Dados!$A$47:$A$4000,"&lt;="&amp;Dados!$A$29))</f>
        <v/>
      </c>
    </row>
    <row r="8">
      <c r="B8" s="18">
        <f>IF(Dados!$AQ$8="","",Dados!$AQ$8)</f>
        <v/>
      </c>
      <c r="C8" s="20">
        <f>IF($B8="","",IF(Dados!$C$30=1,SUMIFS(Dados!$F$47:$F$4000,Dados!$C$47:$C$4000,"Despesa",Dados!$D$47:$D$4000,$B8,Dados!$A$47:$A$4000,Dados!$A$30),""))</f>
        <v/>
      </c>
      <c r="D8" s="20">
        <f>IF($B8="","",IF(Dados!$C$31=1,SUMIFS(Dados!$F$47:$F$4000,Dados!$C$47:$C$4000,"Despesa",Dados!$D$47:$D$4000,$B8,Dados!$A$47:$A$4000,Dados!$A$31),""))</f>
        <v/>
      </c>
      <c r="E8" s="20">
        <f>IF($B8="","",IF(Dados!$C$32=1,SUMIFS(Dados!$F$47:$F$4000,Dados!$C$47:$C$4000,"Despesa",Dados!$D$47:$D$4000,$B8,Dados!$A$47:$A$4000,Dados!$A$32),""))</f>
        <v/>
      </c>
      <c r="F8" s="20">
        <f>IF($B8="","",IF(Dados!$C$33=1,SUMIFS(Dados!$F$47:$F$4000,Dados!$C$47:$C$4000,"Despesa",Dados!$D$47:$D$4000,$B8,Dados!$A$47:$A$4000,Dados!$A$33),""))</f>
        <v/>
      </c>
      <c r="G8" s="20">
        <f>IF($B8="","",IF(Dados!$C$34=1,SUMIFS(Dados!$F$47:$F$4000,Dados!$C$47:$C$4000,"Despesa",Dados!$D$47:$D$4000,$B8,Dados!$A$47:$A$4000,Dados!$A$34),""))</f>
        <v/>
      </c>
      <c r="H8" s="20">
        <f>IF($B8="","",IF(Dados!$C$35=1,SUMIFS(Dados!$F$47:$F$4000,Dados!$C$47:$C$4000,"Despesa",Dados!$D$47:$D$4000,$B8,Dados!$A$47:$A$4000,Dados!$A$35),""))</f>
        <v/>
      </c>
      <c r="I8" s="20">
        <f>IF($B8="","",IF(Dados!$C$36=1,SUMIFS(Dados!$F$47:$F$4000,Dados!$C$47:$C$4000,"Despesa",Dados!$D$47:$D$4000,$B8,Dados!$A$47:$A$4000,Dados!$A$36),""))</f>
        <v/>
      </c>
      <c r="J8" s="20">
        <f>IF($B8="","",IF(Dados!$C$37=1,SUMIFS(Dados!$F$47:$F$4000,Dados!$C$47:$C$4000,"Despesa",Dados!$D$47:$D$4000,$B8,Dados!$A$47:$A$4000,Dados!$A$37),""))</f>
        <v/>
      </c>
      <c r="K8" s="20">
        <f>IF($B8="","",IF(Dados!$C$38=1,SUMIFS(Dados!$F$47:$F$4000,Dados!$C$47:$C$4000,"Despesa",Dados!$D$47:$D$4000,$B8,Dados!$A$47:$A$4000,Dados!$A$38),""))</f>
        <v/>
      </c>
      <c r="L8" s="20">
        <f>IF($B8="","",IF(Dados!$C$39=1,SUMIFS(Dados!$F$47:$F$4000,Dados!$C$47:$C$4000,"Despesa",Dados!$D$47:$D$4000,$B8,Dados!$A$47:$A$4000,Dados!$A$39),""))</f>
        <v/>
      </c>
      <c r="M8" s="20">
        <f>IF($B8="","",IF(Dados!$C$40=1,SUMIFS(Dados!$F$47:$F$4000,Dados!$C$47:$C$4000,"Despesa",Dados!$D$47:$D$4000,$B8,Dados!$A$47:$A$4000,Dados!$A$40),""))</f>
        <v/>
      </c>
      <c r="N8" s="20">
        <f>IF($B8="","",IF(Dados!$C$41=1,SUMIFS(Dados!$F$47:$F$4000,Dados!$C$47:$C$4000,"Despesa",Dados!$D$47:$D$4000,$B8,Dados!$A$47:$A$4000,Dados!$A$41),""))</f>
        <v/>
      </c>
      <c r="O8" s="20">
        <f>IF($B8="","",SUM(C8:N8))</f>
        <v/>
      </c>
      <c r="P8" s="30">
        <f>IF($B8="","",IFERROR(O8/$O$30,""))</f>
        <v/>
      </c>
      <c r="Q8" s="29">
        <f>IF($B8="","",SUMIFS(Dados!$F$47:$F$4000,Dados!$C$47:$C$4000,"Despesa",Dados!$D$47:$D$4000,$B8,Dados!$A$47:$A$4000,"&gt;="&amp;Dados!$A$18,Dados!$A$47:$A$4000,"&lt;="&amp;Dados!$A$29))</f>
        <v/>
      </c>
    </row>
    <row r="9">
      <c r="B9" s="18">
        <f>IF(Dados!$AQ$9="","",Dados!$AQ$9)</f>
        <v/>
      </c>
      <c r="C9" s="20">
        <f>IF($B9="","",IF(Dados!$C$30=1,SUMIFS(Dados!$F$47:$F$4000,Dados!$C$47:$C$4000,"Despesa",Dados!$D$47:$D$4000,$B9,Dados!$A$47:$A$4000,Dados!$A$30),""))</f>
        <v/>
      </c>
      <c r="D9" s="20">
        <f>IF($B9="","",IF(Dados!$C$31=1,SUMIFS(Dados!$F$47:$F$4000,Dados!$C$47:$C$4000,"Despesa",Dados!$D$47:$D$4000,$B9,Dados!$A$47:$A$4000,Dados!$A$31),""))</f>
        <v/>
      </c>
      <c r="E9" s="20">
        <f>IF($B9="","",IF(Dados!$C$32=1,SUMIFS(Dados!$F$47:$F$4000,Dados!$C$47:$C$4000,"Despesa",Dados!$D$47:$D$4000,$B9,Dados!$A$47:$A$4000,Dados!$A$32),""))</f>
        <v/>
      </c>
      <c r="F9" s="20">
        <f>IF($B9="","",IF(Dados!$C$33=1,SUMIFS(Dados!$F$47:$F$4000,Dados!$C$47:$C$4000,"Despesa",Dados!$D$47:$D$4000,$B9,Dados!$A$47:$A$4000,Dados!$A$33),""))</f>
        <v/>
      </c>
      <c r="G9" s="20">
        <f>IF($B9="","",IF(Dados!$C$34=1,SUMIFS(Dados!$F$47:$F$4000,Dados!$C$47:$C$4000,"Despesa",Dados!$D$47:$D$4000,$B9,Dados!$A$47:$A$4000,Dados!$A$34),""))</f>
        <v/>
      </c>
      <c r="H9" s="20">
        <f>IF($B9="","",IF(Dados!$C$35=1,SUMIFS(Dados!$F$47:$F$4000,Dados!$C$47:$C$4000,"Despesa",Dados!$D$47:$D$4000,$B9,Dados!$A$47:$A$4000,Dados!$A$35),""))</f>
        <v/>
      </c>
      <c r="I9" s="20">
        <f>IF($B9="","",IF(Dados!$C$36=1,SUMIFS(Dados!$F$47:$F$4000,Dados!$C$47:$C$4000,"Despesa",Dados!$D$47:$D$4000,$B9,Dados!$A$47:$A$4000,Dados!$A$36),""))</f>
        <v/>
      </c>
      <c r="J9" s="20">
        <f>IF($B9="","",IF(Dados!$C$37=1,SUMIFS(Dados!$F$47:$F$4000,Dados!$C$47:$C$4000,"Despesa",Dados!$D$47:$D$4000,$B9,Dados!$A$47:$A$4000,Dados!$A$37),""))</f>
        <v/>
      </c>
      <c r="K9" s="20">
        <f>IF($B9="","",IF(Dados!$C$38=1,SUMIFS(Dados!$F$47:$F$4000,Dados!$C$47:$C$4000,"Despesa",Dados!$D$47:$D$4000,$B9,Dados!$A$47:$A$4000,Dados!$A$38),""))</f>
        <v/>
      </c>
      <c r="L9" s="20">
        <f>IF($B9="","",IF(Dados!$C$39=1,SUMIFS(Dados!$F$47:$F$4000,Dados!$C$47:$C$4000,"Despesa",Dados!$D$47:$D$4000,$B9,Dados!$A$47:$A$4000,Dados!$A$39),""))</f>
        <v/>
      </c>
      <c r="M9" s="20">
        <f>IF($B9="","",IF(Dados!$C$40=1,SUMIFS(Dados!$F$47:$F$4000,Dados!$C$47:$C$4000,"Despesa",Dados!$D$47:$D$4000,$B9,Dados!$A$47:$A$4000,Dados!$A$40),""))</f>
        <v/>
      </c>
      <c r="N9" s="20">
        <f>IF($B9="","",IF(Dados!$C$41=1,SUMIFS(Dados!$F$47:$F$4000,Dados!$C$47:$C$4000,"Despesa",Dados!$D$47:$D$4000,$B9,Dados!$A$47:$A$4000,Dados!$A$41),""))</f>
        <v/>
      </c>
      <c r="O9" s="20">
        <f>IF($B9="","",SUM(C9:N9))</f>
        <v/>
      </c>
      <c r="P9" s="30">
        <f>IF($B9="","",IFERROR(O9/$O$30,""))</f>
        <v/>
      </c>
      <c r="Q9" s="29">
        <f>IF($B9="","",SUMIFS(Dados!$F$47:$F$4000,Dados!$C$47:$C$4000,"Despesa",Dados!$D$47:$D$4000,$B9,Dados!$A$47:$A$4000,"&gt;="&amp;Dados!$A$18,Dados!$A$47:$A$4000,"&lt;="&amp;Dados!$A$29))</f>
        <v/>
      </c>
    </row>
    <row r="10">
      <c r="B10" s="18">
        <f>IF(Dados!$AQ$10="","",Dados!$AQ$10)</f>
        <v/>
      </c>
      <c r="C10" s="20">
        <f>IF($B10="","",IF(Dados!$C$30=1,SUMIFS(Dados!$F$47:$F$4000,Dados!$C$47:$C$4000,"Despesa",Dados!$D$47:$D$4000,$B10,Dados!$A$47:$A$4000,Dados!$A$30),""))</f>
        <v/>
      </c>
      <c r="D10" s="20">
        <f>IF($B10="","",IF(Dados!$C$31=1,SUMIFS(Dados!$F$47:$F$4000,Dados!$C$47:$C$4000,"Despesa",Dados!$D$47:$D$4000,$B10,Dados!$A$47:$A$4000,Dados!$A$31),""))</f>
        <v/>
      </c>
      <c r="E10" s="20">
        <f>IF($B10="","",IF(Dados!$C$32=1,SUMIFS(Dados!$F$47:$F$4000,Dados!$C$47:$C$4000,"Despesa",Dados!$D$47:$D$4000,$B10,Dados!$A$47:$A$4000,Dados!$A$32),""))</f>
        <v/>
      </c>
      <c r="F10" s="20">
        <f>IF($B10="","",IF(Dados!$C$33=1,SUMIFS(Dados!$F$47:$F$4000,Dados!$C$47:$C$4000,"Despesa",Dados!$D$47:$D$4000,$B10,Dados!$A$47:$A$4000,Dados!$A$33),""))</f>
        <v/>
      </c>
      <c r="G10" s="20">
        <f>IF($B10="","",IF(Dados!$C$34=1,SUMIFS(Dados!$F$47:$F$4000,Dados!$C$47:$C$4000,"Despesa",Dados!$D$47:$D$4000,$B10,Dados!$A$47:$A$4000,Dados!$A$34),""))</f>
        <v/>
      </c>
      <c r="H10" s="20">
        <f>IF($B10="","",IF(Dados!$C$35=1,SUMIFS(Dados!$F$47:$F$4000,Dados!$C$47:$C$4000,"Despesa",Dados!$D$47:$D$4000,$B10,Dados!$A$47:$A$4000,Dados!$A$35),""))</f>
        <v/>
      </c>
      <c r="I10" s="20">
        <f>IF($B10="","",IF(Dados!$C$36=1,SUMIFS(Dados!$F$47:$F$4000,Dados!$C$47:$C$4000,"Despesa",Dados!$D$47:$D$4000,$B10,Dados!$A$47:$A$4000,Dados!$A$36),""))</f>
        <v/>
      </c>
      <c r="J10" s="20">
        <f>IF($B10="","",IF(Dados!$C$37=1,SUMIFS(Dados!$F$47:$F$4000,Dados!$C$47:$C$4000,"Despesa",Dados!$D$47:$D$4000,$B10,Dados!$A$47:$A$4000,Dados!$A$37),""))</f>
        <v/>
      </c>
      <c r="K10" s="20">
        <f>IF($B10="","",IF(Dados!$C$38=1,SUMIFS(Dados!$F$47:$F$4000,Dados!$C$47:$C$4000,"Despesa",Dados!$D$47:$D$4000,$B10,Dados!$A$47:$A$4000,Dados!$A$38),""))</f>
        <v/>
      </c>
      <c r="L10" s="20">
        <f>IF($B10="","",IF(Dados!$C$39=1,SUMIFS(Dados!$F$47:$F$4000,Dados!$C$47:$C$4000,"Despesa",Dados!$D$47:$D$4000,$B10,Dados!$A$47:$A$4000,Dados!$A$39),""))</f>
        <v/>
      </c>
      <c r="M10" s="20">
        <f>IF($B10="","",IF(Dados!$C$40=1,SUMIFS(Dados!$F$47:$F$4000,Dados!$C$47:$C$4000,"Despesa",Dados!$D$47:$D$4000,$B10,Dados!$A$47:$A$4000,Dados!$A$40),""))</f>
        <v/>
      </c>
      <c r="N10" s="20">
        <f>IF($B10="","",IF(Dados!$C$41=1,SUMIFS(Dados!$F$47:$F$4000,Dados!$C$47:$C$4000,"Despesa",Dados!$D$47:$D$4000,$B10,Dados!$A$47:$A$4000,Dados!$A$41),""))</f>
        <v/>
      </c>
      <c r="O10" s="20">
        <f>IF($B10="","",SUM(C10:N10))</f>
        <v/>
      </c>
      <c r="P10" s="30">
        <f>IF($B10="","",IFERROR(O10/$O$30,""))</f>
        <v/>
      </c>
      <c r="Q10" s="29">
        <f>IF($B10="","",SUMIFS(Dados!$F$47:$F$4000,Dados!$C$47:$C$4000,"Despesa",Dados!$D$47:$D$4000,$B10,Dados!$A$47:$A$4000,"&gt;="&amp;Dados!$A$18,Dados!$A$47:$A$4000,"&lt;="&amp;Dados!$A$29))</f>
        <v/>
      </c>
    </row>
    <row r="11">
      <c r="B11" s="18">
        <f>IF(Dados!$AQ$11="","",Dados!$AQ$11)</f>
        <v/>
      </c>
      <c r="C11" s="20">
        <f>IF($B11="","",IF(Dados!$C$30=1,SUMIFS(Dados!$F$47:$F$4000,Dados!$C$47:$C$4000,"Despesa",Dados!$D$47:$D$4000,$B11,Dados!$A$47:$A$4000,Dados!$A$30),""))</f>
        <v/>
      </c>
      <c r="D11" s="20">
        <f>IF($B11="","",IF(Dados!$C$31=1,SUMIFS(Dados!$F$47:$F$4000,Dados!$C$47:$C$4000,"Despesa",Dados!$D$47:$D$4000,$B11,Dados!$A$47:$A$4000,Dados!$A$31),""))</f>
        <v/>
      </c>
      <c r="E11" s="20">
        <f>IF($B11="","",IF(Dados!$C$32=1,SUMIFS(Dados!$F$47:$F$4000,Dados!$C$47:$C$4000,"Despesa",Dados!$D$47:$D$4000,$B11,Dados!$A$47:$A$4000,Dados!$A$32),""))</f>
        <v/>
      </c>
      <c r="F11" s="20">
        <f>IF($B11="","",IF(Dados!$C$33=1,SUMIFS(Dados!$F$47:$F$4000,Dados!$C$47:$C$4000,"Despesa",Dados!$D$47:$D$4000,$B11,Dados!$A$47:$A$4000,Dados!$A$33),""))</f>
        <v/>
      </c>
      <c r="G11" s="20">
        <f>IF($B11="","",IF(Dados!$C$34=1,SUMIFS(Dados!$F$47:$F$4000,Dados!$C$47:$C$4000,"Despesa",Dados!$D$47:$D$4000,$B11,Dados!$A$47:$A$4000,Dados!$A$34),""))</f>
        <v/>
      </c>
      <c r="H11" s="20">
        <f>IF($B11="","",IF(Dados!$C$35=1,SUMIFS(Dados!$F$47:$F$4000,Dados!$C$47:$C$4000,"Despesa",Dados!$D$47:$D$4000,$B11,Dados!$A$47:$A$4000,Dados!$A$35),""))</f>
        <v/>
      </c>
      <c r="I11" s="20">
        <f>IF($B11="","",IF(Dados!$C$36=1,SUMIFS(Dados!$F$47:$F$4000,Dados!$C$47:$C$4000,"Despesa",Dados!$D$47:$D$4000,$B11,Dados!$A$47:$A$4000,Dados!$A$36),""))</f>
        <v/>
      </c>
      <c r="J11" s="20">
        <f>IF($B11="","",IF(Dados!$C$37=1,SUMIFS(Dados!$F$47:$F$4000,Dados!$C$47:$C$4000,"Despesa",Dados!$D$47:$D$4000,$B11,Dados!$A$47:$A$4000,Dados!$A$37),""))</f>
        <v/>
      </c>
      <c r="K11" s="20">
        <f>IF($B11="","",IF(Dados!$C$38=1,SUMIFS(Dados!$F$47:$F$4000,Dados!$C$47:$C$4000,"Despesa",Dados!$D$47:$D$4000,$B11,Dados!$A$47:$A$4000,Dados!$A$38),""))</f>
        <v/>
      </c>
      <c r="L11" s="20">
        <f>IF($B11="","",IF(Dados!$C$39=1,SUMIFS(Dados!$F$47:$F$4000,Dados!$C$47:$C$4000,"Despesa",Dados!$D$47:$D$4000,$B11,Dados!$A$47:$A$4000,Dados!$A$39),""))</f>
        <v/>
      </c>
      <c r="M11" s="20">
        <f>IF($B11="","",IF(Dados!$C$40=1,SUMIFS(Dados!$F$47:$F$4000,Dados!$C$47:$C$4000,"Despesa",Dados!$D$47:$D$4000,$B11,Dados!$A$47:$A$4000,Dados!$A$40),""))</f>
        <v/>
      </c>
      <c r="N11" s="20">
        <f>IF($B11="","",IF(Dados!$C$41=1,SUMIFS(Dados!$F$47:$F$4000,Dados!$C$47:$C$4000,"Despesa",Dados!$D$47:$D$4000,$B11,Dados!$A$47:$A$4000,Dados!$A$41),""))</f>
        <v/>
      </c>
      <c r="O11" s="20">
        <f>IF($B11="","",SUM(C11:N11))</f>
        <v/>
      </c>
      <c r="P11" s="30">
        <f>IF($B11="","",IFERROR(O11/$O$30,""))</f>
        <v/>
      </c>
      <c r="Q11" s="29">
        <f>IF($B11="","",SUMIFS(Dados!$F$47:$F$4000,Dados!$C$47:$C$4000,"Despesa",Dados!$D$47:$D$4000,$B11,Dados!$A$47:$A$4000,"&gt;="&amp;Dados!$A$18,Dados!$A$47:$A$4000,"&lt;="&amp;Dados!$A$29))</f>
        <v/>
      </c>
    </row>
    <row r="12">
      <c r="B12" s="18">
        <f>IF(Dados!$AQ$12="","",Dados!$AQ$12)</f>
        <v/>
      </c>
      <c r="C12" s="20">
        <f>IF($B12="","",IF(Dados!$C$30=1,SUMIFS(Dados!$F$47:$F$4000,Dados!$C$47:$C$4000,"Despesa",Dados!$D$47:$D$4000,$B12,Dados!$A$47:$A$4000,Dados!$A$30),""))</f>
        <v/>
      </c>
      <c r="D12" s="20">
        <f>IF($B12="","",IF(Dados!$C$31=1,SUMIFS(Dados!$F$47:$F$4000,Dados!$C$47:$C$4000,"Despesa",Dados!$D$47:$D$4000,$B12,Dados!$A$47:$A$4000,Dados!$A$31),""))</f>
        <v/>
      </c>
      <c r="E12" s="20">
        <f>IF($B12="","",IF(Dados!$C$32=1,SUMIFS(Dados!$F$47:$F$4000,Dados!$C$47:$C$4000,"Despesa",Dados!$D$47:$D$4000,$B12,Dados!$A$47:$A$4000,Dados!$A$32),""))</f>
        <v/>
      </c>
      <c r="F12" s="20">
        <f>IF($B12="","",IF(Dados!$C$33=1,SUMIFS(Dados!$F$47:$F$4000,Dados!$C$47:$C$4000,"Despesa",Dados!$D$47:$D$4000,$B12,Dados!$A$47:$A$4000,Dados!$A$33),""))</f>
        <v/>
      </c>
      <c r="G12" s="20">
        <f>IF($B12="","",IF(Dados!$C$34=1,SUMIFS(Dados!$F$47:$F$4000,Dados!$C$47:$C$4000,"Despesa",Dados!$D$47:$D$4000,$B12,Dados!$A$47:$A$4000,Dados!$A$34),""))</f>
        <v/>
      </c>
      <c r="H12" s="20">
        <f>IF($B12="","",IF(Dados!$C$35=1,SUMIFS(Dados!$F$47:$F$4000,Dados!$C$47:$C$4000,"Despesa",Dados!$D$47:$D$4000,$B12,Dados!$A$47:$A$4000,Dados!$A$35),""))</f>
        <v/>
      </c>
      <c r="I12" s="20">
        <f>IF($B12="","",IF(Dados!$C$36=1,SUMIFS(Dados!$F$47:$F$4000,Dados!$C$47:$C$4000,"Despesa",Dados!$D$47:$D$4000,$B12,Dados!$A$47:$A$4000,Dados!$A$36),""))</f>
        <v/>
      </c>
      <c r="J12" s="20">
        <f>IF($B12="","",IF(Dados!$C$37=1,SUMIFS(Dados!$F$47:$F$4000,Dados!$C$47:$C$4000,"Despesa",Dados!$D$47:$D$4000,$B12,Dados!$A$47:$A$4000,Dados!$A$37),""))</f>
        <v/>
      </c>
      <c r="K12" s="20">
        <f>IF($B12="","",IF(Dados!$C$38=1,SUMIFS(Dados!$F$47:$F$4000,Dados!$C$47:$C$4000,"Despesa",Dados!$D$47:$D$4000,$B12,Dados!$A$47:$A$4000,Dados!$A$38),""))</f>
        <v/>
      </c>
      <c r="L12" s="20">
        <f>IF($B12="","",IF(Dados!$C$39=1,SUMIFS(Dados!$F$47:$F$4000,Dados!$C$47:$C$4000,"Despesa",Dados!$D$47:$D$4000,$B12,Dados!$A$47:$A$4000,Dados!$A$39),""))</f>
        <v/>
      </c>
      <c r="M12" s="20">
        <f>IF($B12="","",IF(Dados!$C$40=1,SUMIFS(Dados!$F$47:$F$4000,Dados!$C$47:$C$4000,"Despesa",Dados!$D$47:$D$4000,$B12,Dados!$A$47:$A$4000,Dados!$A$40),""))</f>
        <v/>
      </c>
      <c r="N12" s="20">
        <f>IF($B12="","",IF(Dados!$C$41=1,SUMIFS(Dados!$F$47:$F$4000,Dados!$C$47:$C$4000,"Despesa",Dados!$D$47:$D$4000,$B12,Dados!$A$47:$A$4000,Dados!$A$41),""))</f>
        <v/>
      </c>
      <c r="O12" s="20">
        <f>IF($B12="","",SUM(C12:N12))</f>
        <v/>
      </c>
      <c r="P12" s="30">
        <f>IF($B12="","",IFERROR(O12/$O$30,""))</f>
        <v/>
      </c>
      <c r="Q12" s="29">
        <f>IF($B12="","",SUMIFS(Dados!$F$47:$F$4000,Dados!$C$47:$C$4000,"Despesa",Dados!$D$47:$D$4000,$B12,Dados!$A$47:$A$4000,"&gt;="&amp;Dados!$A$18,Dados!$A$47:$A$4000,"&lt;="&amp;Dados!$A$29))</f>
        <v/>
      </c>
    </row>
    <row r="13">
      <c r="B13" s="18">
        <f>IF(Dados!$AQ$13="","",Dados!$AQ$13)</f>
        <v/>
      </c>
      <c r="C13" s="20">
        <f>IF($B13="","",IF(Dados!$C$30=1,SUMIFS(Dados!$F$47:$F$4000,Dados!$C$47:$C$4000,"Despesa",Dados!$D$47:$D$4000,$B13,Dados!$A$47:$A$4000,Dados!$A$30),""))</f>
        <v/>
      </c>
      <c r="D13" s="20">
        <f>IF($B13="","",IF(Dados!$C$31=1,SUMIFS(Dados!$F$47:$F$4000,Dados!$C$47:$C$4000,"Despesa",Dados!$D$47:$D$4000,$B13,Dados!$A$47:$A$4000,Dados!$A$31),""))</f>
        <v/>
      </c>
      <c r="E13" s="20">
        <f>IF($B13="","",IF(Dados!$C$32=1,SUMIFS(Dados!$F$47:$F$4000,Dados!$C$47:$C$4000,"Despesa",Dados!$D$47:$D$4000,$B13,Dados!$A$47:$A$4000,Dados!$A$32),""))</f>
        <v/>
      </c>
      <c r="F13" s="20">
        <f>IF($B13="","",IF(Dados!$C$33=1,SUMIFS(Dados!$F$47:$F$4000,Dados!$C$47:$C$4000,"Despesa",Dados!$D$47:$D$4000,$B13,Dados!$A$47:$A$4000,Dados!$A$33),""))</f>
        <v/>
      </c>
      <c r="G13" s="20">
        <f>IF($B13="","",IF(Dados!$C$34=1,SUMIFS(Dados!$F$47:$F$4000,Dados!$C$47:$C$4000,"Despesa",Dados!$D$47:$D$4000,$B13,Dados!$A$47:$A$4000,Dados!$A$34),""))</f>
        <v/>
      </c>
      <c r="H13" s="20">
        <f>IF($B13="","",IF(Dados!$C$35=1,SUMIFS(Dados!$F$47:$F$4000,Dados!$C$47:$C$4000,"Despesa",Dados!$D$47:$D$4000,$B13,Dados!$A$47:$A$4000,Dados!$A$35),""))</f>
        <v/>
      </c>
      <c r="I13" s="20">
        <f>IF($B13="","",IF(Dados!$C$36=1,SUMIFS(Dados!$F$47:$F$4000,Dados!$C$47:$C$4000,"Despesa",Dados!$D$47:$D$4000,$B13,Dados!$A$47:$A$4000,Dados!$A$36),""))</f>
        <v/>
      </c>
      <c r="J13" s="20">
        <f>IF($B13="","",IF(Dados!$C$37=1,SUMIFS(Dados!$F$47:$F$4000,Dados!$C$47:$C$4000,"Despesa",Dados!$D$47:$D$4000,$B13,Dados!$A$47:$A$4000,Dados!$A$37),""))</f>
        <v/>
      </c>
      <c r="K13" s="20">
        <f>IF($B13="","",IF(Dados!$C$38=1,SUMIFS(Dados!$F$47:$F$4000,Dados!$C$47:$C$4000,"Despesa",Dados!$D$47:$D$4000,$B13,Dados!$A$47:$A$4000,Dados!$A$38),""))</f>
        <v/>
      </c>
      <c r="L13" s="20">
        <f>IF($B13="","",IF(Dados!$C$39=1,SUMIFS(Dados!$F$47:$F$4000,Dados!$C$47:$C$4000,"Despesa",Dados!$D$47:$D$4000,$B13,Dados!$A$47:$A$4000,Dados!$A$39),""))</f>
        <v/>
      </c>
      <c r="M13" s="20">
        <f>IF($B13="","",IF(Dados!$C$40=1,SUMIFS(Dados!$F$47:$F$4000,Dados!$C$47:$C$4000,"Despesa",Dados!$D$47:$D$4000,$B13,Dados!$A$47:$A$4000,Dados!$A$40),""))</f>
        <v/>
      </c>
      <c r="N13" s="20">
        <f>IF($B13="","",IF(Dados!$C$41=1,SUMIFS(Dados!$F$47:$F$4000,Dados!$C$47:$C$4000,"Despesa",Dados!$D$47:$D$4000,$B13,Dados!$A$47:$A$4000,Dados!$A$41),""))</f>
        <v/>
      </c>
      <c r="O13" s="20">
        <f>IF($B13="","",SUM(C13:N13))</f>
        <v/>
      </c>
      <c r="P13" s="30">
        <f>IF($B13="","",IFERROR(O13/$O$30,""))</f>
        <v/>
      </c>
      <c r="Q13" s="29">
        <f>IF($B13="","",SUMIFS(Dados!$F$47:$F$4000,Dados!$C$47:$C$4000,"Despesa",Dados!$D$47:$D$4000,$B13,Dados!$A$47:$A$4000,"&gt;="&amp;Dados!$A$18,Dados!$A$47:$A$4000,"&lt;="&amp;Dados!$A$29))</f>
        <v/>
      </c>
    </row>
    <row r="14">
      <c r="B14" s="18">
        <f>IF(Dados!$AQ$14="","",Dados!$AQ$14)</f>
        <v/>
      </c>
      <c r="C14" s="20">
        <f>IF($B14="","",IF(Dados!$C$30=1,SUMIFS(Dados!$F$47:$F$4000,Dados!$C$47:$C$4000,"Despesa",Dados!$D$47:$D$4000,$B14,Dados!$A$47:$A$4000,Dados!$A$30),""))</f>
        <v/>
      </c>
      <c r="D14" s="20">
        <f>IF($B14="","",IF(Dados!$C$31=1,SUMIFS(Dados!$F$47:$F$4000,Dados!$C$47:$C$4000,"Despesa",Dados!$D$47:$D$4000,$B14,Dados!$A$47:$A$4000,Dados!$A$31),""))</f>
        <v/>
      </c>
      <c r="E14" s="20">
        <f>IF($B14="","",IF(Dados!$C$32=1,SUMIFS(Dados!$F$47:$F$4000,Dados!$C$47:$C$4000,"Despesa",Dados!$D$47:$D$4000,$B14,Dados!$A$47:$A$4000,Dados!$A$32),""))</f>
        <v/>
      </c>
      <c r="F14" s="20">
        <f>IF($B14="","",IF(Dados!$C$33=1,SUMIFS(Dados!$F$47:$F$4000,Dados!$C$47:$C$4000,"Despesa",Dados!$D$47:$D$4000,$B14,Dados!$A$47:$A$4000,Dados!$A$33),""))</f>
        <v/>
      </c>
      <c r="G14" s="20">
        <f>IF($B14="","",IF(Dados!$C$34=1,SUMIFS(Dados!$F$47:$F$4000,Dados!$C$47:$C$4000,"Despesa",Dados!$D$47:$D$4000,$B14,Dados!$A$47:$A$4000,Dados!$A$34),""))</f>
        <v/>
      </c>
      <c r="H14" s="20">
        <f>IF($B14="","",IF(Dados!$C$35=1,SUMIFS(Dados!$F$47:$F$4000,Dados!$C$47:$C$4000,"Despesa",Dados!$D$47:$D$4000,$B14,Dados!$A$47:$A$4000,Dados!$A$35),""))</f>
        <v/>
      </c>
      <c r="I14" s="20">
        <f>IF($B14="","",IF(Dados!$C$36=1,SUMIFS(Dados!$F$47:$F$4000,Dados!$C$47:$C$4000,"Despesa",Dados!$D$47:$D$4000,$B14,Dados!$A$47:$A$4000,Dados!$A$36),""))</f>
        <v/>
      </c>
      <c r="J14" s="20">
        <f>IF($B14="","",IF(Dados!$C$37=1,SUMIFS(Dados!$F$47:$F$4000,Dados!$C$47:$C$4000,"Despesa",Dados!$D$47:$D$4000,$B14,Dados!$A$47:$A$4000,Dados!$A$37),""))</f>
        <v/>
      </c>
      <c r="K14" s="20">
        <f>IF($B14="","",IF(Dados!$C$38=1,SUMIFS(Dados!$F$47:$F$4000,Dados!$C$47:$C$4000,"Despesa",Dados!$D$47:$D$4000,$B14,Dados!$A$47:$A$4000,Dados!$A$38),""))</f>
        <v/>
      </c>
      <c r="L14" s="20">
        <f>IF($B14="","",IF(Dados!$C$39=1,SUMIFS(Dados!$F$47:$F$4000,Dados!$C$47:$C$4000,"Despesa",Dados!$D$47:$D$4000,$B14,Dados!$A$47:$A$4000,Dados!$A$39),""))</f>
        <v/>
      </c>
      <c r="M14" s="20">
        <f>IF($B14="","",IF(Dados!$C$40=1,SUMIFS(Dados!$F$47:$F$4000,Dados!$C$47:$C$4000,"Despesa",Dados!$D$47:$D$4000,$B14,Dados!$A$47:$A$4000,Dados!$A$40),""))</f>
        <v/>
      </c>
      <c r="N14" s="20">
        <f>IF($B14="","",IF(Dados!$C$41=1,SUMIFS(Dados!$F$47:$F$4000,Dados!$C$47:$C$4000,"Despesa",Dados!$D$47:$D$4000,$B14,Dados!$A$47:$A$4000,Dados!$A$41),""))</f>
        <v/>
      </c>
      <c r="O14" s="20">
        <f>IF($B14="","",SUM(C14:N14))</f>
        <v/>
      </c>
      <c r="P14" s="30">
        <f>IF($B14="","",IFERROR(O14/$O$30,""))</f>
        <v/>
      </c>
      <c r="Q14" s="29">
        <f>IF($B14="","",SUMIFS(Dados!$F$47:$F$4000,Dados!$C$47:$C$4000,"Despesa",Dados!$D$47:$D$4000,$B14,Dados!$A$47:$A$4000,"&gt;="&amp;Dados!$A$18,Dados!$A$47:$A$4000,"&lt;="&amp;Dados!$A$29))</f>
        <v/>
      </c>
    </row>
    <row r="15">
      <c r="B15" s="18">
        <f>IF(Dados!$AQ$15="","",Dados!$AQ$15)</f>
        <v/>
      </c>
      <c r="C15" s="20">
        <f>IF($B15="","",IF(Dados!$C$30=1,SUMIFS(Dados!$F$47:$F$4000,Dados!$C$47:$C$4000,"Despesa",Dados!$D$47:$D$4000,$B15,Dados!$A$47:$A$4000,Dados!$A$30),""))</f>
        <v/>
      </c>
      <c r="D15" s="20">
        <f>IF($B15="","",IF(Dados!$C$31=1,SUMIFS(Dados!$F$47:$F$4000,Dados!$C$47:$C$4000,"Despesa",Dados!$D$47:$D$4000,$B15,Dados!$A$47:$A$4000,Dados!$A$31),""))</f>
        <v/>
      </c>
      <c r="E15" s="20">
        <f>IF($B15="","",IF(Dados!$C$32=1,SUMIFS(Dados!$F$47:$F$4000,Dados!$C$47:$C$4000,"Despesa",Dados!$D$47:$D$4000,$B15,Dados!$A$47:$A$4000,Dados!$A$32),""))</f>
        <v/>
      </c>
      <c r="F15" s="20">
        <f>IF($B15="","",IF(Dados!$C$33=1,SUMIFS(Dados!$F$47:$F$4000,Dados!$C$47:$C$4000,"Despesa",Dados!$D$47:$D$4000,$B15,Dados!$A$47:$A$4000,Dados!$A$33),""))</f>
        <v/>
      </c>
      <c r="G15" s="20">
        <f>IF($B15="","",IF(Dados!$C$34=1,SUMIFS(Dados!$F$47:$F$4000,Dados!$C$47:$C$4000,"Despesa",Dados!$D$47:$D$4000,$B15,Dados!$A$47:$A$4000,Dados!$A$34),""))</f>
        <v/>
      </c>
      <c r="H15" s="20">
        <f>IF($B15="","",IF(Dados!$C$35=1,SUMIFS(Dados!$F$47:$F$4000,Dados!$C$47:$C$4000,"Despesa",Dados!$D$47:$D$4000,$B15,Dados!$A$47:$A$4000,Dados!$A$35),""))</f>
        <v/>
      </c>
      <c r="I15" s="20">
        <f>IF($B15="","",IF(Dados!$C$36=1,SUMIFS(Dados!$F$47:$F$4000,Dados!$C$47:$C$4000,"Despesa",Dados!$D$47:$D$4000,$B15,Dados!$A$47:$A$4000,Dados!$A$36),""))</f>
        <v/>
      </c>
      <c r="J15" s="20">
        <f>IF($B15="","",IF(Dados!$C$37=1,SUMIFS(Dados!$F$47:$F$4000,Dados!$C$47:$C$4000,"Despesa",Dados!$D$47:$D$4000,$B15,Dados!$A$47:$A$4000,Dados!$A$37),""))</f>
        <v/>
      </c>
      <c r="K15" s="20">
        <f>IF($B15="","",IF(Dados!$C$38=1,SUMIFS(Dados!$F$47:$F$4000,Dados!$C$47:$C$4000,"Despesa",Dados!$D$47:$D$4000,$B15,Dados!$A$47:$A$4000,Dados!$A$38),""))</f>
        <v/>
      </c>
      <c r="L15" s="20">
        <f>IF($B15="","",IF(Dados!$C$39=1,SUMIFS(Dados!$F$47:$F$4000,Dados!$C$47:$C$4000,"Despesa",Dados!$D$47:$D$4000,$B15,Dados!$A$47:$A$4000,Dados!$A$39),""))</f>
        <v/>
      </c>
      <c r="M15" s="20">
        <f>IF($B15="","",IF(Dados!$C$40=1,SUMIFS(Dados!$F$47:$F$4000,Dados!$C$47:$C$4000,"Despesa",Dados!$D$47:$D$4000,$B15,Dados!$A$47:$A$4000,Dados!$A$40),""))</f>
        <v/>
      </c>
      <c r="N15" s="20">
        <f>IF($B15="","",IF(Dados!$C$41=1,SUMIFS(Dados!$F$47:$F$4000,Dados!$C$47:$C$4000,"Despesa",Dados!$D$47:$D$4000,$B15,Dados!$A$47:$A$4000,Dados!$A$41),""))</f>
        <v/>
      </c>
      <c r="O15" s="20">
        <f>IF($B15="","",SUM(C15:N15))</f>
        <v/>
      </c>
      <c r="P15" s="30">
        <f>IF($B15="","",IFERROR(O15/$O$30,""))</f>
        <v/>
      </c>
      <c r="Q15" s="29">
        <f>IF($B15="","",SUMIFS(Dados!$F$47:$F$4000,Dados!$C$47:$C$4000,"Despesa",Dados!$D$47:$D$4000,$B15,Dados!$A$47:$A$4000,"&gt;="&amp;Dados!$A$18,Dados!$A$47:$A$4000,"&lt;="&amp;Dados!$A$29))</f>
        <v/>
      </c>
    </row>
    <row r="16">
      <c r="B16" s="18">
        <f>IF(Dados!$AQ$16="","",Dados!$AQ$16)</f>
        <v/>
      </c>
      <c r="C16" s="20">
        <f>IF($B16="","",IF(Dados!$C$30=1,SUMIFS(Dados!$F$47:$F$4000,Dados!$C$47:$C$4000,"Despesa",Dados!$D$47:$D$4000,$B16,Dados!$A$47:$A$4000,Dados!$A$30),""))</f>
        <v/>
      </c>
      <c r="D16" s="20">
        <f>IF($B16="","",IF(Dados!$C$31=1,SUMIFS(Dados!$F$47:$F$4000,Dados!$C$47:$C$4000,"Despesa",Dados!$D$47:$D$4000,$B16,Dados!$A$47:$A$4000,Dados!$A$31),""))</f>
        <v/>
      </c>
      <c r="E16" s="20">
        <f>IF($B16="","",IF(Dados!$C$32=1,SUMIFS(Dados!$F$47:$F$4000,Dados!$C$47:$C$4000,"Despesa",Dados!$D$47:$D$4000,$B16,Dados!$A$47:$A$4000,Dados!$A$32),""))</f>
        <v/>
      </c>
      <c r="F16" s="20">
        <f>IF($B16="","",IF(Dados!$C$33=1,SUMIFS(Dados!$F$47:$F$4000,Dados!$C$47:$C$4000,"Despesa",Dados!$D$47:$D$4000,$B16,Dados!$A$47:$A$4000,Dados!$A$33),""))</f>
        <v/>
      </c>
      <c r="G16" s="20">
        <f>IF($B16="","",IF(Dados!$C$34=1,SUMIFS(Dados!$F$47:$F$4000,Dados!$C$47:$C$4000,"Despesa",Dados!$D$47:$D$4000,$B16,Dados!$A$47:$A$4000,Dados!$A$34),""))</f>
        <v/>
      </c>
      <c r="H16" s="20">
        <f>IF($B16="","",IF(Dados!$C$35=1,SUMIFS(Dados!$F$47:$F$4000,Dados!$C$47:$C$4000,"Despesa",Dados!$D$47:$D$4000,$B16,Dados!$A$47:$A$4000,Dados!$A$35),""))</f>
        <v/>
      </c>
      <c r="I16" s="20">
        <f>IF($B16="","",IF(Dados!$C$36=1,SUMIFS(Dados!$F$47:$F$4000,Dados!$C$47:$C$4000,"Despesa",Dados!$D$47:$D$4000,$B16,Dados!$A$47:$A$4000,Dados!$A$36),""))</f>
        <v/>
      </c>
      <c r="J16" s="20">
        <f>IF($B16="","",IF(Dados!$C$37=1,SUMIFS(Dados!$F$47:$F$4000,Dados!$C$47:$C$4000,"Despesa",Dados!$D$47:$D$4000,$B16,Dados!$A$47:$A$4000,Dados!$A$37),""))</f>
        <v/>
      </c>
      <c r="K16" s="20">
        <f>IF($B16="","",IF(Dados!$C$38=1,SUMIFS(Dados!$F$47:$F$4000,Dados!$C$47:$C$4000,"Despesa",Dados!$D$47:$D$4000,$B16,Dados!$A$47:$A$4000,Dados!$A$38),""))</f>
        <v/>
      </c>
      <c r="L16" s="20">
        <f>IF($B16="","",IF(Dados!$C$39=1,SUMIFS(Dados!$F$47:$F$4000,Dados!$C$47:$C$4000,"Despesa",Dados!$D$47:$D$4000,$B16,Dados!$A$47:$A$4000,Dados!$A$39),""))</f>
        <v/>
      </c>
      <c r="M16" s="20">
        <f>IF($B16="","",IF(Dados!$C$40=1,SUMIFS(Dados!$F$47:$F$4000,Dados!$C$47:$C$4000,"Despesa",Dados!$D$47:$D$4000,$B16,Dados!$A$47:$A$4000,Dados!$A$40),""))</f>
        <v/>
      </c>
      <c r="N16" s="20">
        <f>IF($B16="","",IF(Dados!$C$41=1,SUMIFS(Dados!$F$47:$F$4000,Dados!$C$47:$C$4000,"Despesa",Dados!$D$47:$D$4000,$B16,Dados!$A$47:$A$4000,Dados!$A$41),""))</f>
        <v/>
      </c>
      <c r="O16" s="20">
        <f>IF($B16="","",SUM(C16:N16))</f>
        <v/>
      </c>
      <c r="P16" s="30">
        <f>IF($B16="","",IFERROR(O16/$O$30,""))</f>
        <v/>
      </c>
      <c r="Q16" s="29">
        <f>IF($B16="","",SUMIFS(Dados!$F$47:$F$4000,Dados!$C$47:$C$4000,"Despesa",Dados!$D$47:$D$4000,$B16,Dados!$A$47:$A$4000,"&gt;="&amp;Dados!$A$18,Dados!$A$47:$A$4000,"&lt;="&amp;Dados!$A$29))</f>
        <v/>
      </c>
    </row>
    <row r="17">
      <c r="B17" s="18">
        <f>IF(Dados!$AQ$17="","",Dados!$AQ$17)</f>
        <v/>
      </c>
      <c r="C17" s="20">
        <f>IF($B17="","",IF(Dados!$C$30=1,SUMIFS(Dados!$F$47:$F$4000,Dados!$C$47:$C$4000,"Despesa",Dados!$D$47:$D$4000,$B17,Dados!$A$47:$A$4000,Dados!$A$30),""))</f>
        <v/>
      </c>
      <c r="D17" s="20">
        <f>IF($B17="","",IF(Dados!$C$31=1,SUMIFS(Dados!$F$47:$F$4000,Dados!$C$47:$C$4000,"Despesa",Dados!$D$47:$D$4000,$B17,Dados!$A$47:$A$4000,Dados!$A$31),""))</f>
        <v/>
      </c>
      <c r="E17" s="20">
        <f>IF($B17="","",IF(Dados!$C$32=1,SUMIFS(Dados!$F$47:$F$4000,Dados!$C$47:$C$4000,"Despesa",Dados!$D$47:$D$4000,$B17,Dados!$A$47:$A$4000,Dados!$A$32),""))</f>
        <v/>
      </c>
      <c r="F17" s="20">
        <f>IF($B17="","",IF(Dados!$C$33=1,SUMIFS(Dados!$F$47:$F$4000,Dados!$C$47:$C$4000,"Despesa",Dados!$D$47:$D$4000,$B17,Dados!$A$47:$A$4000,Dados!$A$33),""))</f>
        <v/>
      </c>
      <c r="G17" s="20">
        <f>IF($B17="","",IF(Dados!$C$34=1,SUMIFS(Dados!$F$47:$F$4000,Dados!$C$47:$C$4000,"Despesa",Dados!$D$47:$D$4000,$B17,Dados!$A$47:$A$4000,Dados!$A$34),""))</f>
        <v/>
      </c>
      <c r="H17" s="20">
        <f>IF($B17="","",IF(Dados!$C$35=1,SUMIFS(Dados!$F$47:$F$4000,Dados!$C$47:$C$4000,"Despesa",Dados!$D$47:$D$4000,$B17,Dados!$A$47:$A$4000,Dados!$A$35),""))</f>
        <v/>
      </c>
      <c r="I17" s="20">
        <f>IF($B17="","",IF(Dados!$C$36=1,SUMIFS(Dados!$F$47:$F$4000,Dados!$C$47:$C$4000,"Despesa",Dados!$D$47:$D$4000,$B17,Dados!$A$47:$A$4000,Dados!$A$36),""))</f>
        <v/>
      </c>
      <c r="J17" s="20">
        <f>IF($B17="","",IF(Dados!$C$37=1,SUMIFS(Dados!$F$47:$F$4000,Dados!$C$47:$C$4000,"Despesa",Dados!$D$47:$D$4000,$B17,Dados!$A$47:$A$4000,Dados!$A$37),""))</f>
        <v/>
      </c>
      <c r="K17" s="20">
        <f>IF($B17="","",IF(Dados!$C$38=1,SUMIFS(Dados!$F$47:$F$4000,Dados!$C$47:$C$4000,"Despesa",Dados!$D$47:$D$4000,$B17,Dados!$A$47:$A$4000,Dados!$A$38),""))</f>
        <v/>
      </c>
      <c r="L17" s="20">
        <f>IF($B17="","",IF(Dados!$C$39=1,SUMIFS(Dados!$F$47:$F$4000,Dados!$C$47:$C$4000,"Despesa",Dados!$D$47:$D$4000,$B17,Dados!$A$47:$A$4000,Dados!$A$39),""))</f>
        <v/>
      </c>
      <c r="M17" s="20">
        <f>IF($B17="","",IF(Dados!$C$40=1,SUMIFS(Dados!$F$47:$F$4000,Dados!$C$47:$C$4000,"Despesa",Dados!$D$47:$D$4000,$B17,Dados!$A$47:$A$4000,Dados!$A$40),""))</f>
        <v/>
      </c>
      <c r="N17" s="20">
        <f>IF($B17="","",IF(Dados!$C$41=1,SUMIFS(Dados!$F$47:$F$4000,Dados!$C$47:$C$4000,"Despesa",Dados!$D$47:$D$4000,$B17,Dados!$A$47:$A$4000,Dados!$A$41),""))</f>
        <v/>
      </c>
      <c r="O17" s="20">
        <f>IF($B17="","",SUM(C17:N17))</f>
        <v/>
      </c>
      <c r="P17" s="30">
        <f>IF($B17="","",IFERROR(O17/$O$30,""))</f>
        <v/>
      </c>
      <c r="Q17" s="29">
        <f>IF($B17="","",SUMIFS(Dados!$F$47:$F$4000,Dados!$C$47:$C$4000,"Despesa",Dados!$D$47:$D$4000,$B17,Dados!$A$47:$A$4000,"&gt;="&amp;Dados!$A$18,Dados!$A$47:$A$4000,"&lt;="&amp;Dados!$A$29))</f>
        <v/>
      </c>
    </row>
    <row r="18">
      <c r="B18" s="18">
        <f>IF(Dados!$AQ$18="","",Dados!$AQ$18)</f>
        <v/>
      </c>
      <c r="C18" s="20">
        <f>IF($B18="","",IF(Dados!$C$30=1,SUMIFS(Dados!$F$47:$F$4000,Dados!$C$47:$C$4000,"Despesa",Dados!$D$47:$D$4000,$B18,Dados!$A$47:$A$4000,Dados!$A$30),""))</f>
        <v/>
      </c>
      <c r="D18" s="20">
        <f>IF($B18="","",IF(Dados!$C$31=1,SUMIFS(Dados!$F$47:$F$4000,Dados!$C$47:$C$4000,"Despesa",Dados!$D$47:$D$4000,$B18,Dados!$A$47:$A$4000,Dados!$A$31),""))</f>
        <v/>
      </c>
      <c r="E18" s="20">
        <f>IF($B18="","",IF(Dados!$C$32=1,SUMIFS(Dados!$F$47:$F$4000,Dados!$C$47:$C$4000,"Despesa",Dados!$D$47:$D$4000,$B18,Dados!$A$47:$A$4000,Dados!$A$32),""))</f>
        <v/>
      </c>
      <c r="F18" s="20">
        <f>IF($B18="","",IF(Dados!$C$33=1,SUMIFS(Dados!$F$47:$F$4000,Dados!$C$47:$C$4000,"Despesa",Dados!$D$47:$D$4000,$B18,Dados!$A$47:$A$4000,Dados!$A$33),""))</f>
        <v/>
      </c>
      <c r="G18" s="20">
        <f>IF($B18="","",IF(Dados!$C$34=1,SUMIFS(Dados!$F$47:$F$4000,Dados!$C$47:$C$4000,"Despesa",Dados!$D$47:$D$4000,$B18,Dados!$A$47:$A$4000,Dados!$A$34),""))</f>
        <v/>
      </c>
      <c r="H18" s="20">
        <f>IF($B18="","",IF(Dados!$C$35=1,SUMIFS(Dados!$F$47:$F$4000,Dados!$C$47:$C$4000,"Despesa",Dados!$D$47:$D$4000,$B18,Dados!$A$47:$A$4000,Dados!$A$35),""))</f>
        <v/>
      </c>
      <c r="I18" s="20">
        <f>IF($B18="","",IF(Dados!$C$36=1,SUMIFS(Dados!$F$47:$F$4000,Dados!$C$47:$C$4000,"Despesa",Dados!$D$47:$D$4000,$B18,Dados!$A$47:$A$4000,Dados!$A$36),""))</f>
        <v/>
      </c>
      <c r="J18" s="20">
        <f>IF($B18="","",IF(Dados!$C$37=1,SUMIFS(Dados!$F$47:$F$4000,Dados!$C$47:$C$4000,"Despesa",Dados!$D$47:$D$4000,$B18,Dados!$A$47:$A$4000,Dados!$A$37),""))</f>
        <v/>
      </c>
      <c r="K18" s="20">
        <f>IF($B18="","",IF(Dados!$C$38=1,SUMIFS(Dados!$F$47:$F$4000,Dados!$C$47:$C$4000,"Despesa",Dados!$D$47:$D$4000,$B18,Dados!$A$47:$A$4000,Dados!$A$38),""))</f>
        <v/>
      </c>
      <c r="L18" s="20">
        <f>IF($B18="","",IF(Dados!$C$39=1,SUMIFS(Dados!$F$47:$F$4000,Dados!$C$47:$C$4000,"Despesa",Dados!$D$47:$D$4000,$B18,Dados!$A$47:$A$4000,Dados!$A$39),""))</f>
        <v/>
      </c>
      <c r="M18" s="20">
        <f>IF($B18="","",IF(Dados!$C$40=1,SUMIFS(Dados!$F$47:$F$4000,Dados!$C$47:$C$4000,"Despesa",Dados!$D$47:$D$4000,$B18,Dados!$A$47:$A$4000,Dados!$A$40),""))</f>
        <v/>
      </c>
      <c r="N18" s="20">
        <f>IF($B18="","",IF(Dados!$C$41=1,SUMIFS(Dados!$F$47:$F$4000,Dados!$C$47:$C$4000,"Despesa",Dados!$D$47:$D$4000,$B18,Dados!$A$47:$A$4000,Dados!$A$41),""))</f>
        <v/>
      </c>
      <c r="O18" s="20">
        <f>IF($B18="","",SUM(C18:N18))</f>
        <v/>
      </c>
      <c r="P18" s="30">
        <f>IF($B18="","",IFERROR(O18/$O$30,""))</f>
        <v/>
      </c>
      <c r="Q18" s="29">
        <f>IF($B18="","",SUMIFS(Dados!$F$47:$F$4000,Dados!$C$47:$C$4000,"Despesa",Dados!$D$47:$D$4000,$B18,Dados!$A$47:$A$4000,"&gt;="&amp;Dados!$A$18,Dados!$A$47:$A$4000,"&lt;="&amp;Dados!$A$29))</f>
        <v/>
      </c>
    </row>
    <row r="19">
      <c r="B19" s="18">
        <f>IF(Dados!$AQ$19="","",Dados!$AQ$19)</f>
        <v/>
      </c>
      <c r="C19" s="20">
        <f>IF($B19="","",IF(Dados!$C$30=1,SUMIFS(Dados!$F$47:$F$4000,Dados!$C$47:$C$4000,"Despesa",Dados!$D$47:$D$4000,$B19,Dados!$A$47:$A$4000,Dados!$A$30),""))</f>
        <v/>
      </c>
      <c r="D19" s="20">
        <f>IF($B19="","",IF(Dados!$C$31=1,SUMIFS(Dados!$F$47:$F$4000,Dados!$C$47:$C$4000,"Despesa",Dados!$D$47:$D$4000,$B19,Dados!$A$47:$A$4000,Dados!$A$31),""))</f>
        <v/>
      </c>
      <c r="E19" s="20">
        <f>IF($B19="","",IF(Dados!$C$32=1,SUMIFS(Dados!$F$47:$F$4000,Dados!$C$47:$C$4000,"Despesa",Dados!$D$47:$D$4000,$B19,Dados!$A$47:$A$4000,Dados!$A$32),""))</f>
        <v/>
      </c>
      <c r="F19" s="20">
        <f>IF($B19="","",IF(Dados!$C$33=1,SUMIFS(Dados!$F$47:$F$4000,Dados!$C$47:$C$4000,"Despesa",Dados!$D$47:$D$4000,$B19,Dados!$A$47:$A$4000,Dados!$A$33),""))</f>
        <v/>
      </c>
      <c r="G19" s="20">
        <f>IF($B19="","",IF(Dados!$C$34=1,SUMIFS(Dados!$F$47:$F$4000,Dados!$C$47:$C$4000,"Despesa",Dados!$D$47:$D$4000,$B19,Dados!$A$47:$A$4000,Dados!$A$34),""))</f>
        <v/>
      </c>
      <c r="H19" s="20">
        <f>IF($B19="","",IF(Dados!$C$35=1,SUMIFS(Dados!$F$47:$F$4000,Dados!$C$47:$C$4000,"Despesa",Dados!$D$47:$D$4000,$B19,Dados!$A$47:$A$4000,Dados!$A$35),""))</f>
        <v/>
      </c>
      <c r="I19" s="20">
        <f>IF($B19="","",IF(Dados!$C$36=1,SUMIFS(Dados!$F$47:$F$4000,Dados!$C$47:$C$4000,"Despesa",Dados!$D$47:$D$4000,$B19,Dados!$A$47:$A$4000,Dados!$A$36),""))</f>
        <v/>
      </c>
      <c r="J19" s="20">
        <f>IF($B19="","",IF(Dados!$C$37=1,SUMIFS(Dados!$F$47:$F$4000,Dados!$C$47:$C$4000,"Despesa",Dados!$D$47:$D$4000,$B19,Dados!$A$47:$A$4000,Dados!$A$37),""))</f>
        <v/>
      </c>
      <c r="K19" s="20">
        <f>IF($B19="","",IF(Dados!$C$38=1,SUMIFS(Dados!$F$47:$F$4000,Dados!$C$47:$C$4000,"Despesa",Dados!$D$47:$D$4000,$B19,Dados!$A$47:$A$4000,Dados!$A$38),""))</f>
        <v/>
      </c>
      <c r="L19" s="20">
        <f>IF($B19="","",IF(Dados!$C$39=1,SUMIFS(Dados!$F$47:$F$4000,Dados!$C$47:$C$4000,"Despesa",Dados!$D$47:$D$4000,$B19,Dados!$A$47:$A$4000,Dados!$A$39),""))</f>
        <v/>
      </c>
      <c r="M19" s="20">
        <f>IF($B19="","",IF(Dados!$C$40=1,SUMIFS(Dados!$F$47:$F$4000,Dados!$C$47:$C$4000,"Despesa",Dados!$D$47:$D$4000,$B19,Dados!$A$47:$A$4000,Dados!$A$40),""))</f>
        <v/>
      </c>
      <c r="N19" s="20">
        <f>IF($B19="","",IF(Dados!$C$41=1,SUMIFS(Dados!$F$47:$F$4000,Dados!$C$47:$C$4000,"Despesa",Dados!$D$47:$D$4000,$B19,Dados!$A$47:$A$4000,Dados!$A$41),""))</f>
        <v/>
      </c>
      <c r="O19" s="20">
        <f>IF($B19="","",SUM(C19:N19))</f>
        <v/>
      </c>
      <c r="P19" s="30">
        <f>IF($B19="","",IFERROR(O19/$O$30,""))</f>
        <v/>
      </c>
      <c r="Q19" s="29">
        <f>IF($B19="","",SUMIFS(Dados!$F$47:$F$4000,Dados!$C$47:$C$4000,"Despesa",Dados!$D$47:$D$4000,$B19,Dados!$A$47:$A$4000,"&gt;="&amp;Dados!$A$18,Dados!$A$47:$A$4000,"&lt;="&amp;Dados!$A$29))</f>
        <v/>
      </c>
    </row>
    <row r="20">
      <c r="B20" s="18">
        <f>IF(Dados!$AQ$20="","",Dados!$AQ$20)</f>
        <v/>
      </c>
      <c r="C20" s="20">
        <f>IF($B20="","",IF(Dados!$C$30=1,SUMIFS(Dados!$F$47:$F$4000,Dados!$C$47:$C$4000,"Despesa",Dados!$D$47:$D$4000,$B20,Dados!$A$47:$A$4000,Dados!$A$30),""))</f>
        <v/>
      </c>
      <c r="D20" s="20">
        <f>IF($B20="","",IF(Dados!$C$31=1,SUMIFS(Dados!$F$47:$F$4000,Dados!$C$47:$C$4000,"Despesa",Dados!$D$47:$D$4000,$B20,Dados!$A$47:$A$4000,Dados!$A$31),""))</f>
        <v/>
      </c>
      <c r="E20" s="20">
        <f>IF($B20="","",IF(Dados!$C$32=1,SUMIFS(Dados!$F$47:$F$4000,Dados!$C$47:$C$4000,"Despesa",Dados!$D$47:$D$4000,$B20,Dados!$A$47:$A$4000,Dados!$A$32),""))</f>
        <v/>
      </c>
      <c r="F20" s="20">
        <f>IF($B20="","",IF(Dados!$C$33=1,SUMIFS(Dados!$F$47:$F$4000,Dados!$C$47:$C$4000,"Despesa",Dados!$D$47:$D$4000,$B20,Dados!$A$47:$A$4000,Dados!$A$33),""))</f>
        <v/>
      </c>
      <c r="G20" s="20">
        <f>IF($B20="","",IF(Dados!$C$34=1,SUMIFS(Dados!$F$47:$F$4000,Dados!$C$47:$C$4000,"Despesa",Dados!$D$47:$D$4000,$B20,Dados!$A$47:$A$4000,Dados!$A$34),""))</f>
        <v/>
      </c>
      <c r="H20" s="20">
        <f>IF($B20="","",IF(Dados!$C$35=1,SUMIFS(Dados!$F$47:$F$4000,Dados!$C$47:$C$4000,"Despesa",Dados!$D$47:$D$4000,$B20,Dados!$A$47:$A$4000,Dados!$A$35),""))</f>
        <v/>
      </c>
      <c r="I20" s="20">
        <f>IF($B20="","",IF(Dados!$C$36=1,SUMIFS(Dados!$F$47:$F$4000,Dados!$C$47:$C$4000,"Despesa",Dados!$D$47:$D$4000,$B20,Dados!$A$47:$A$4000,Dados!$A$36),""))</f>
        <v/>
      </c>
      <c r="J20" s="20">
        <f>IF($B20="","",IF(Dados!$C$37=1,SUMIFS(Dados!$F$47:$F$4000,Dados!$C$47:$C$4000,"Despesa",Dados!$D$47:$D$4000,$B20,Dados!$A$47:$A$4000,Dados!$A$37),""))</f>
        <v/>
      </c>
      <c r="K20" s="20">
        <f>IF($B20="","",IF(Dados!$C$38=1,SUMIFS(Dados!$F$47:$F$4000,Dados!$C$47:$C$4000,"Despesa",Dados!$D$47:$D$4000,$B20,Dados!$A$47:$A$4000,Dados!$A$38),""))</f>
        <v/>
      </c>
      <c r="L20" s="20">
        <f>IF($B20="","",IF(Dados!$C$39=1,SUMIFS(Dados!$F$47:$F$4000,Dados!$C$47:$C$4000,"Despesa",Dados!$D$47:$D$4000,$B20,Dados!$A$47:$A$4000,Dados!$A$39),""))</f>
        <v/>
      </c>
      <c r="M20" s="20">
        <f>IF($B20="","",IF(Dados!$C$40=1,SUMIFS(Dados!$F$47:$F$4000,Dados!$C$47:$C$4000,"Despesa",Dados!$D$47:$D$4000,$B20,Dados!$A$47:$A$4000,Dados!$A$40),""))</f>
        <v/>
      </c>
      <c r="N20" s="20">
        <f>IF($B20="","",IF(Dados!$C$41=1,SUMIFS(Dados!$F$47:$F$4000,Dados!$C$47:$C$4000,"Despesa",Dados!$D$47:$D$4000,$B20,Dados!$A$47:$A$4000,Dados!$A$41),""))</f>
        <v/>
      </c>
      <c r="O20" s="20">
        <f>IF($B20="","",SUM(C20:N20))</f>
        <v/>
      </c>
      <c r="P20" s="30">
        <f>IF($B20="","",IFERROR(O20/$O$30,""))</f>
        <v/>
      </c>
      <c r="Q20" s="29">
        <f>IF($B20="","",SUMIFS(Dados!$F$47:$F$4000,Dados!$C$47:$C$4000,"Despesa",Dados!$D$47:$D$4000,$B20,Dados!$A$47:$A$4000,"&gt;="&amp;Dados!$A$18,Dados!$A$47:$A$4000,"&lt;="&amp;Dados!$A$29))</f>
        <v/>
      </c>
    </row>
    <row r="21">
      <c r="B21" s="18">
        <f>IF(Dados!$AQ$21="","",Dados!$AQ$21)</f>
        <v/>
      </c>
      <c r="C21" s="20">
        <f>IF($B21="","",IF(Dados!$C$30=1,SUMIFS(Dados!$F$47:$F$4000,Dados!$C$47:$C$4000,"Despesa",Dados!$D$47:$D$4000,$B21,Dados!$A$47:$A$4000,Dados!$A$30),""))</f>
        <v/>
      </c>
      <c r="D21" s="20">
        <f>IF($B21="","",IF(Dados!$C$31=1,SUMIFS(Dados!$F$47:$F$4000,Dados!$C$47:$C$4000,"Despesa",Dados!$D$47:$D$4000,$B21,Dados!$A$47:$A$4000,Dados!$A$31),""))</f>
        <v/>
      </c>
      <c r="E21" s="20">
        <f>IF($B21="","",IF(Dados!$C$32=1,SUMIFS(Dados!$F$47:$F$4000,Dados!$C$47:$C$4000,"Despesa",Dados!$D$47:$D$4000,$B21,Dados!$A$47:$A$4000,Dados!$A$32),""))</f>
        <v/>
      </c>
      <c r="F21" s="20">
        <f>IF($B21="","",IF(Dados!$C$33=1,SUMIFS(Dados!$F$47:$F$4000,Dados!$C$47:$C$4000,"Despesa",Dados!$D$47:$D$4000,$B21,Dados!$A$47:$A$4000,Dados!$A$33),""))</f>
        <v/>
      </c>
      <c r="G21" s="20">
        <f>IF($B21="","",IF(Dados!$C$34=1,SUMIFS(Dados!$F$47:$F$4000,Dados!$C$47:$C$4000,"Despesa",Dados!$D$47:$D$4000,$B21,Dados!$A$47:$A$4000,Dados!$A$34),""))</f>
        <v/>
      </c>
      <c r="H21" s="20">
        <f>IF($B21="","",IF(Dados!$C$35=1,SUMIFS(Dados!$F$47:$F$4000,Dados!$C$47:$C$4000,"Despesa",Dados!$D$47:$D$4000,$B21,Dados!$A$47:$A$4000,Dados!$A$35),""))</f>
        <v/>
      </c>
      <c r="I21" s="20">
        <f>IF($B21="","",IF(Dados!$C$36=1,SUMIFS(Dados!$F$47:$F$4000,Dados!$C$47:$C$4000,"Despesa",Dados!$D$47:$D$4000,$B21,Dados!$A$47:$A$4000,Dados!$A$36),""))</f>
        <v/>
      </c>
      <c r="J21" s="20">
        <f>IF($B21="","",IF(Dados!$C$37=1,SUMIFS(Dados!$F$47:$F$4000,Dados!$C$47:$C$4000,"Despesa",Dados!$D$47:$D$4000,$B21,Dados!$A$47:$A$4000,Dados!$A$37),""))</f>
        <v/>
      </c>
      <c r="K21" s="20">
        <f>IF($B21="","",IF(Dados!$C$38=1,SUMIFS(Dados!$F$47:$F$4000,Dados!$C$47:$C$4000,"Despesa",Dados!$D$47:$D$4000,$B21,Dados!$A$47:$A$4000,Dados!$A$38),""))</f>
        <v/>
      </c>
      <c r="L21" s="20">
        <f>IF($B21="","",IF(Dados!$C$39=1,SUMIFS(Dados!$F$47:$F$4000,Dados!$C$47:$C$4000,"Despesa",Dados!$D$47:$D$4000,$B21,Dados!$A$47:$A$4000,Dados!$A$39),""))</f>
        <v/>
      </c>
      <c r="M21" s="20">
        <f>IF($B21="","",IF(Dados!$C$40=1,SUMIFS(Dados!$F$47:$F$4000,Dados!$C$47:$C$4000,"Despesa",Dados!$D$47:$D$4000,$B21,Dados!$A$47:$A$4000,Dados!$A$40),""))</f>
        <v/>
      </c>
      <c r="N21" s="20">
        <f>IF($B21="","",IF(Dados!$C$41=1,SUMIFS(Dados!$F$47:$F$4000,Dados!$C$47:$C$4000,"Despesa",Dados!$D$47:$D$4000,$B21,Dados!$A$47:$A$4000,Dados!$A$41),""))</f>
        <v/>
      </c>
      <c r="O21" s="20">
        <f>IF($B21="","",SUM(C21:N21))</f>
        <v/>
      </c>
      <c r="P21" s="30">
        <f>IF($B21="","",IFERROR(O21/$O$30,""))</f>
        <v/>
      </c>
      <c r="Q21" s="29">
        <f>IF($B21="","",SUMIFS(Dados!$F$47:$F$4000,Dados!$C$47:$C$4000,"Despesa",Dados!$D$47:$D$4000,$B21,Dados!$A$47:$A$4000,"&gt;="&amp;Dados!$A$18,Dados!$A$47:$A$4000,"&lt;="&amp;Dados!$A$29))</f>
        <v/>
      </c>
    </row>
    <row r="22">
      <c r="B22" s="18">
        <f>IF(Dados!$AQ$22="","",Dados!$AQ$22)</f>
        <v/>
      </c>
      <c r="C22" s="20">
        <f>IF($B22="","",IF(Dados!$C$30=1,SUMIFS(Dados!$F$47:$F$4000,Dados!$C$47:$C$4000,"Despesa",Dados!$D$47:$D$4000,$B22,Dados!$A$47:$A$4000,Dados!$A$30),""))</f>
        <v/>
      </c>
      <c r="D22" s="20">
        <f>IF($B22="","",IF(Dados!$C$31=1,SUMIFS(Dados!$F$47:$F$4000,Dados!$C$47:$C$4000,"Despesa",Dados!$D$47:$D$4000,$B22,Dados!$A$47:$A$4000,Dados!$A$31),""))</f>
        <v/>
      </c>
      <c r="E22" s="20">
        <f>IF($B22="","",IF(Dados!$C$32=1,SUMIFS(Dados!$F$47:$F$4000,Dados!$C$47:$C$4000,"Despesa",Dados!$D$47:$D$4000,$B22,Dados!$A$47:$A$4000,Dados!$A$32),""))</f>
        <v/>
      </c>
      <c r="F22" s="20">
        <f>IF($B22="","",IF(Dados!$C$33=1,SUMIFS(Dados!$F$47:$F$4000,Dados!$C$47:$C$4000,"Despesa",Dados!$D$47:$D$4000,$B22,Dados!$A$47:$A$4000,Dados!$A$33),""))</f>
        <v/>
      </c>
      <c r="G22" s="20">
        <f>IF($B22="","",IF(Dados!$C$34=1,SUMIFS(Dados!$F$47:$F$4000,Dados!$C$47:$C$4000,"Despesa",Dados!$D$47:$D$4000,$B22,Dados!$A$47:$A$4000,Dados!$A$34),""))</f>
        <v/>
      </c>
      <c r="H22" s="20">
        <f>IF($B22="","",IF(Dados!$C$35=1,SUMIFS(Dados!$F$47:$F$4000,Dados!$C$47:$C$4000,"Despesa",Dados!$D$47:$D$4000,$B22,Dados!$A$47:$A$4000,Dados!$A$35),""))</f>
        <v/>
      </c>
      <c r="I22" s="20">
        <f>IF($B22="","",IF(Dados!$C$36=1,SUMIFS(Dados!$F$47:$F$4000,Dados!$C$47:$C$4000,"Despesa",Dados!$D$47:$D$4000,$B22,Dados!$A$47:$A$4000,Dados!$A$36),""))</f>
        <v/>
      </c>
      <c r="J22" s="20">
        <f>IF($B22="","",IF(Dados!$C$37=1,SUMIFS(Dados!$F$47:$F$4000,Dados!$C$47:$C$4000,"Despesa",Dados!$D$47:$D$4000,$B22,Dados!$A$47:$A$4000,Dados!$A$37),""))</f>
        <v/>
      </c>
      <c r="K22" s="20">
        <f>IF($B22="","",IF(Dados!$C$38=1,SUMIFS(Dados!$F$47:$F$4000,Dados!$C$47:$C$4000,"Despesa",Dados!$D$47:$D$4000,$B22,Dados!$A$47:$A$4000,Dados!$A$38),""))</f>
        <v/>
      </c>
      <c r="L22" s="20">
        <f>IF($B22="","",IF(Dados!$C$39=1,SUMIFS(Dados!$F$47:$F$4000,Dados!$C$47:$C$4000,"Despesa",Dados!$D$47:$D$4000,$B22,Dados!$A$47:$A$4000,Dados!$A$39),""))</f>
        <v/>
      </c>
      <c r="M22" s="20">
        <f>IF($B22="","",IF(Dados!$C$40=1,SUMIFS(Dados!$F$47:$F$4000,Dados!$C$47:$C$4000,"Despesa",Dados!$D$47:$D$4000,$B22,Dados!$A$47:$A$4000,Dados!$A$40),""))</f>
        <v/>
      </c>
      <c r="N22" s="20">
        <f>IF($B22="","",IF(Dados!$C$41=1,SUMIFS(Dados!$F$47:$F$4000,Dados!$C$47:$C$4000,"Despesa",Dados!$D$47:$D$4000,$B22,Dados!$A$47:$A$4000,Dados!$A$41),""))</f>
        <v/>
      </c>
      <c r="O22" s="20">
        <f>IF($B22="","",SUM(C22:N22))</f>
        <v/>
      </c>
      <c r="P22" s="30">
        <f>IF($B22="","",IFERROR(O22/$O$30,""))</f>
        <v/>
      </c>
      <c r="Q22" s="29">
        <f>IF($B22="","",SUMIFS(Dados!$F$47:$F$4000,Dados!$C$47:$C$4000,"Despesa",Dados!$D$47:$D$4000,$B22,Dados!$A$47:$A$4000,"&gt;="&amp;Dados!$A$18,Dados!$A$47:$A$4000,"&lt;="&amp;Dados!$A$29))</f>
        <v/>
      </c>
    </row>
    <row r="23">
      <c r="B23" s="18">
        <f>IF(Dados!$AQ$23="","",Dados!$AQ$23)</f>
        <v/>
      </c>
      <c r="C23" s="20">
        <f>IF($B23="","",IF(Dados!$C$30=1,SUMIFS(Dados!$F$47:$F$4000,Dados!$C$47:$C$4000,"Despesa",Dados!$D$47:$D$4000,$B23,Dados!$A$47:$A$4000,Dados!$A$30),""))</f>
        <v/>
      </c>
      <c r="D23" s="20">
        <f>IF($B23="","",IF(Dados!$C$31=1,SUMIFS(Dados!$F$47:$F$4000,Dados!$C$47:$C$4000,"Despesa",Dados!$D$47:$D$4000,$B23,Dados!$A$47:$A$4000,Dados!$A$31),""))</f>
        <v/>
      </c>
      <c r="E23" s="20">
        <f>IF($B23="","",IF(Dados!$C$32=1,SUMIFS(Dados!$F$47:$F$4000,Dados!$C$47:$C$4000,"Despesa",Dados!$D$47:$D$4000,$B23,Dados!$A$47:$A$4000,Dados!$A$32),""))</f>
        <v/>
      </c>
      <c r="F23" s="20">
        <f>IF($B23="","",IF(Dados!$C$33=1,SUMIFS(Dados!$F$47:$F$4000,Dados!$C$47:$C$4000,"Despesa",Dados!$D$47:$D$4000,$B23,Dados!$A$47:$A$4000,Dados!$A$33),""))</f>
        <v/>
      </c>
      <c r="G23" s="20">
        <f>IF($B23="","",IF(Dados!$C$34=1,SUMIFS(Dados!$F$47:$F$4000,Dados!$C$47:$C$4000,"Despesa",Dados!$D$47:$D$4000,$B23,Dados!$A$47:$A$4000,Dados!$A$34),""))</f>
        <v/>
      </c>
      <c r="H23" s="20">
        <f>IF($B23="","",IF(Dados!$C$35=1,SUMIFS(Dados!$F$47:$F$4000,Dados!$C$47:$C$4000,"Despesa",Dados!$D$47:$D$4000,$B23,Dados!$A$47:$A$4000,Dados!$A$35),""))</f>
        <v/>
      </c>
      <c r="I23" s="20">
        <f>IF($B23="","",IF(Dados!$C$36=1,SUMIFS(Dados!$F$47:$F$4000,Dados!$C$47:$C$4000,"Despesa",Dados!$D$47:$D$4000,$B23,Dados!$A$47:$A$4000,Dados!$A$36),""))</f>
        <v/>
      </c>
      <c r="J23" s="20">
        <f>IF($B23="","",IF(Dados!$C$37=1,SUMIFS(Dados!$F$47:$F$4000,Dados!$C$47:$C$4000,"Despesa",Dados!$D$47:$D$4000,$B23,Dados!$A$47:$A$4000,Dados!$A$37),""))</f>
        <v/>
      </c>
      <c r="K23" s="20">
        <f>IF($B23="","",IF(Dados!$C$38=1,SUMIFS(Dados!$F$47:$F$4000,Dados!$C$47:$C$4000,"Despesa",Dados!$D$47:$D$4000,$B23,Dados!$A$47:$A$4000,Dados!$A$38),""))</f>
        <v/>
      </c>
      <c r="L23" s="20">
        <f>IF($B23="","",IF(Dados!$C$39=1,SUMIFS(Dados!$F$47:$F$4000,Dados!$C$47:$C$4000,"Despesa",Dados!$D$47:$D$4000,$B23,Dados!$A$47:$A$4000,Dados!$A$39),""))</f>
        <v/>
      </c>
      <c r="M23" s="20">
        <f>IF($B23="","",IF(Dados!$C$40=1,SUMIFS(Dados!$F$47:$F$4000,Dados!$C$47:$C$4000,"Despesa",Dados!$D$47:$D$4000,$B23,Dados!$A$47:$A$4000,Dados!$A$40),""))</f>
        <v/>
      </c>
      <c r="N23" s="20">
        <f>IF($B23="","",IF(Dados!$C$41=1,SUMIFS(Dados!$F$47:$F$4000,Dados!$C$47:$C$4000,"Despesa",Dados!$D$47:$D$4000,$B23,Dados!$A$47:$A$4000,Dados!$A$41),""))</f>
        <v/>
      </c>
      <c r="O23" s="20">
        <f>IF($B23="","",SUM(C23:N23))</f>
        <v/>
      </c>
      <c r="P23" s="30">
        <f>IF($B23="","",IFERROR(O23/$O$30,""))</f>
        <v/>
      </c>
      <c r="Q23" s="29">
        <f>IF($B23="","",SUMIFS(Dados!$F$47:$F$4000,Dados!$C$47:$C$4000,"Despesa",Dados!$D$47:$D$4000,$B23,Dados!$A$47:$A$4000,"&gt;="&amp;Dados!$A$18,Dados!$A$47:$A$4000,"&lt;="&amp;Dados!$A$29))</f>
        <v/>
      </c>
    </row>
    <row r="24">
      <c r="B24" s="18">
        <f>IF(Dados!$AQ$24="","",Dados!$AQ$24)</f>
        <v/>
      </c>
      <c r="C24" s="20">
        <f>IF($B24="","",IF(Dados!$C$30=1,SUMIFS(Dados!$F$47:$F$4000,Dados!$C$47:$C$4000,"Despesa",Dados!$D$47:$D$4000,$B24,Dados!$A$47:$A$4000,Dados!$A$30),""))</f>
        <v/>
      </c>
      <c r="D24" s="20">
        <f>IF($B24="","",IF(Dados!$C$31=1,SUMIFS(Dados!$F$47:$F$4000,Dados!$C$47:$C$4000,"Despesa",Dados!$D$47:$D$4000,$B24,Dados!$A$47:$A$4000,Dados!$A$31),""))</f>
        <v/>
      </c>
      <c r="E24" s="20">
        <f>IF($B24="","",IF(Dados!$C$32=1,SUMIFS(Dados!$F$47:$F$4000,Dados!$C$47:$C$4000,"Despesa",Dados!$D$47:$D$4000,$B24,Dados!$A$47:$A$4000,Dados!$A$32),""))</f>
        <v/>
      </c>
      <c r="F24" s="20">
        <f>IF($B24="","",IF(Dados!$C$33=1,SUMIFS(Dados!$F$47:$F$4000,Dados!$C$47:$C$4000,"Despesa",Dados!$D$47:$D$4000,$B24,Dados!$A$47:$A$4000,Dados!$A$33),""))</f>
        <v/>
      </c>
      <c r="G24" s="20">
        <f>IF($B24="","",IF(Dados!$C$34=1,SUMIFS(Dados!$F$47:$F$4000,Dados!$C$47:$C$4000,"Despesa",Dados!$D$47:$D$4000,$B24,Dados!$A$47:$A$4000,Dados!$A$34),""))</f>
        <v/>
      </c>
      <c r="H24" s="20">
        <f>IF($B24="","",IF(Dados!$C$35=1,SUMIFS(Dados!$F$47:$F$4000,Dados!$C$47:$C$4000,"Despesa",Dados!$D$47:$D$4000,$B24,Dados!$A$47:$A$4000,Dados!$A$35),""))</f>
        <v/>
      </c>
      <c r="I24" s="20">
        <f>IF($B24="","",IF(Dados!$C$36=1,SUMIFS(Dados!$F$47:$F$4000,Dados!$C$47:$C$4000,"Despesa",Dados!$D$47:$D$4000,$B24,Dados!$A$47:$A$4000,Dados!$A$36),""))</f>
        <v/>
      </c>
      <c r="J24" s="20">
        <f>IF($B24="","",IF(Dados!$C$37=1,SUMIFS(Dados!$F$47:$F$4000,Dados!$C$47:$C$4000,"Despesa",Dados!$D$47:$D$4000,$B24,Dados!$A$47:$A$4000,Dados!$A$37),""))</f>
        <v/>
      </c>
      <c r="K24" s="20">
        <f>IF($B24="","",IF(Dados!$C$38=1,SUMIFS(Dados!$F$47:$F$4000,Dados!$C$47:$C$4000,"Despesa",Dados!$D$47:$D$4000,$B24,Dados!$A$47:$A$4000,Dados!$A$38),""))</f>
        <v/>
      </c>
      <c r="L24" s="20">
        <f>IF($B24="","",IF(Dados!$C$39=1,SUMIFS(Dados!$F$47:$F$4000,Dados!$C$47:$C$4000,"Despesa",Dados!$D$47:$D$4000,$B24,Dados!$A$47:$A$4000,Dados!$A$39),""))</f>
        <v/>
      </c>
      <c r="M24" s="20">
        <f>IF($B24="","",IF(Dados!$C$40=1,SUMIFS(Dados!$F$47:$F$4000,Dados!$C$47:$C$4000,"Despesa",Dados!$D$47:$D$4000,$B24,Dados!$A$47:$A$4000,Dados!$A$40),""))</f>
        <v/>
      </c>
      <c r="N24" s="20">
        <f>IF($B24="","",IF(Dados!$C$41=1,SUMIFS(Dados!$F$47:$F$4000,Dados!$C$47:$C$4000,"Despesa",Dados!$D$47:$D$4000,$B24,Dados!$A$47:$A$4000,Dados!$A$41),""))</f>
        <v/>
      </c>
      <c r="O24" s="20">
        <f>IF($B24="","",SUM(C24:N24))</f>
        <v/>
      </c>
      <c r="P24" s="30">
        <f>IF($B24="","",IFERROR(O24/$O$30,""))</f>
        <v/>
      </c>
      <c r="Q24" s="29">
        <f>IF($B24="","",SUMIFS(Dados!$F$47:$F$4000,Dados!$C$47:$C$4000,"Despesa",Dados!$D$47:$D$4000,$B24,Dados!$A$47:$A$4000,"&gt;="&amp;Dados!$A$18,Dados!$A$47:$A$4000,"&lt;="&amp;Dados!$A$29))</f>
        <v/>
      </c>
    </row>
    <row r="25">
      <c r="B25" s="18">
        <f>IF(Dados!$AQ$25="","",Dados!$AQ$25)</f>
        <v/>
      </c>
      <c r="C25" s="20">
        <f>IF($B25="","",IF(Dados!$C$30=1,SUMIFS(Dados!$F$47:$F$4000,Dados!$C$47:$C$4000,"Despesa",Dados!$D$47:$D$4000,$B25,Dados!$A$47:$A$4000,Dados!$A$30),""))</f>
        <v/>
      </c>
      <c r="D25" s="20">
        <f>IF($B25="","",IF(Dados!$C$31=1,SUMIFS(Dados!$F$47:$F$4000,Dados!$C$47:$C$4000,"Despesa",Dados!$D$47:$D$4000,$B25,Dados!$A$47:$A$4000,Dados!$A$31),""))</f>
        <v/>
      </c>
      <c r="E25" s="20">
        <f>IF($B25="","",IF(Dados!$C$32=1,SUMIFS(Dados!$F$47:$F$4000,Dados!$C$47:$C$4000,"Despesa",Dados!$D$47:$D$4000,$B25,Dados!$A$47:$A$4000,Dados!$A$32),""))</f>
        <v/>
      </c>
      <c r="F25" s="20">
        <f>IF($B25="","",IF(Dados!$C$33=1,SUMIFS(Dados!$F$47:$F$4000,Dados!$C$47:$C$4000,"Despesa",Dados!$D$47:$D$4000,$B25,Dados!$A$47:$A$4000,Dados!$A$33),""))</f>
        <v/>
      </c>
      <c r="G25" s="20">
        <f>IF($B25="","",IF(Dados!$C$34=1,SUMIFS(Dados!$F$47:$F$4000,Dados!$C$47:$C$4000,"Despesa",Dados!$D$47:$D$4000,$B25,Dados!$A$47:$A$4000,Dados!$A$34),""))</f>
        <v/>
      </c>
      <c r="H25" s="20">
        <f>IF($B25="","",IF(Dados!$C$35=1,SUMIFS(Dados!$F$47:$F$4000,Dados!$C$47:$C$4000,"Despesa",Dados!$D$47:$D$4000,$B25,Dados!$A$47:$A$4000,Dados!$A$35),""))</f>
        <v/>
      </c>
      <c r="I25" s="20">
        <f>IF($B25="","",IF(Dados!$C$36=1,SUMIFS(Dados!$F$47:$F$4000,Dados!$C$47:$C$4000,"Despesa",Dados!$D$47:$D$4000,$B25,Dados!$A$47:$A$4000,Dados!$A$36),""))</f>
        <v/>
      </c>
      <c r="J25" s="20">
        <f>IF($B25="","",IF(Dados!$C$37=1,SUMIFS(Dados!$F$47:$F$4000,Dados!$C$47:$C$4000,"Despesa",Dados!$D$47:$D$4000,$B25,Dados!$A$47:$A$4000,Dados!$A$37),""))</f>
        <v/>
      </c>
      <c r="K25" s="20">
        <f>IF($B25="","",IF(Dados!$C$38=1,SUMIFS(Dados!$F$47:$F$4000,Dados!$C$47:$C$4000,"Despesa",Dados!$D$47:$D$4000,$B25,Dados!$A$47:$A$4000,Dados!$A$38),""))</f>
        <v/>
      </c>
      <c r="L25" s="20">
        <f>IF($B25="","",IF(Dados!$C$39=1,SUMIFS(Dados!$F$47:$F$4000,Dados!$C$47:$C$4000,"Despesa",Dados!$D$47:$D$4000,$B25,Dados!$A$47:$A$4000,Dados!$A$39),""))</f>
        <v/>
      </c>
      <c r="M25" s="20">
        <f>IF($B25="","",IF(Dados!$C$40=1,SUMIFS(Dados!$F$47:$F$4000,Dados!$C$47:$C$4000,"Despesa",Dados!$D$47:$D$4000,$B25,Dados!$A$47:$A$4000,Dados!$A$40),""))</f>
        <v/>
      </c>
      <c r="N25" s="20">
        <f>IF($B25="","",IF(Dados!$C$41=1,SUMIFS(Dados!$F$47:$F$4000,Dados!$C$47:$C$4000,"Despesa",Dados!$D$47:$D$4000,$B25,Dados!$A$47:$A$4000,Dados!$A$41),""))</f>
        <v/>
      </c>
      <c r="O25" s="20">
        <f>IF($B25="","",SUM(C25:N25))</f>
        <v/>
      </c>
      <c r="P25" s="30">
        <f>IF($B25="","",IFERROR(O25/$O$30,""))</f>
        <v/>
      </c>
      <c r="Q25" s="29">
        <f>IF($B25="","",SUMIFS(Dados!$F$47:$F$4000,Dados!$C$47:$C$4000,"Despesa",Dados!$D$47:$D$4000,$B25,Dados!$A$47:$A$4000,"&gt;="&amp;Dados!$A$18,Dados!$A$47:$A$4000,"&lt;="&amp;Dados!$A$29))</f>
        <v/>
      </c>
    </row>
    <row r="26">
      <c r="B26" s="18">
        <f>IF(Dados!$AQ$26="","",Dados!$AQ$26)</f>
        <v/>
      </c>
      <c r="C26" s="20">
        <f>IF($B26="","",IF(Dados!$C$30=1,SUMIFS(Dados!$F$47:$F$4000,Dados!$C$47:$C$4000,"Despesa",Dados!$D$47:$D$4000,$B26,Dados!$A$47:$A$4000,Dados!$A$30),""))</f>
        <v/>
      </c>
      <c r="D26" s="20">
        <f>IF($B26="","",IF(Dados!$C$31=1,SUMIFS(Dados!$F$47:$F$4000,Dados!$C$47:$C$4000,"Despesa",Dados!$D$47:$D$4000,$B26,Dados!$A$47:$A$4000,Dados!$A$31),""))</f>
        <v/>
      </c>
      <c r="E26" s="20">
        <f>IF($B26="","",IF(Dados!$C$32=1,SUMIFS(Dados!$F$47:$F$4000,Dados!$C$47:$C$4000,"Despesa",Dados!$D$47:$D$4000,$B26,Dados!$A$47:$A$4000,Dados!$A$32),""))</f>
        <v/>
      </c>
      <c r="F26" s="20">
        <f>IF($B26="","",IF(Dados!$C$33=1,SUMIFS(Dados!$F$47:$F$4000,Dados!$C$47:$C$4000,"Despesa",Dados!$D$47:$D$4000,$B26,Dados!$A$47:$A$4000,Dados!$A$33),""))</f>
        <v/>
      </c>
      <c r="G26" s="20">
        <f>IF($B26="","",IF(Dados!$C$34=1,SUMIFS(Dados!$F$47:$F$4000,Dados!$C$47:$C$4000,"Despesa",Dados!$D$47:$D$4000,$B26,Dados!$A$47:$A$4000,Dados!$A$34),""))</f>
        <v/>
      </c>
      <c r="H26" s="20">
        <f>IF($B26="","",IF(Dados!$C$35=1,SUMIFS(Dados!$F$47:$F$4000,Dados!$C$47:$C$4000,"Despesa",Dados!$D$47:$D$4000,$B26,Dados!$A$47:$A$4000,Dados!$A$35),""))</f>
        <v/>
      </c>
      <c r="I26" s="20">
        <f>IF($B26="","",IF(Dados!$C$36=1,SUMIFS(Dados!$F$47:$F$4000,Dados!$C$47:$C$4000,"Despesa",Dados!$D$47:$D$4000,$B26,Dados!$A$47:$A$4000,Dados!$A$36),""))</f>
        <v/>
      </c>
      <c r="J26" s="20">
        <f>IF($B26="","",IF(Dados!$C$37=1,SUMIFS(Dados!$F$47:$F$4000,Dados!$C$47:$C$4000,"Despesa",Dados!$D$47:$D$4000,$B26,Dados!$A$47:$A$4000,Dados!$A$37),""))</f>
        <v/>
      </c>
      <c r="K26" s="20">
        <f>IF($B26="","",IF(Dados!$C$38=1,SUMIFS(Dados!$F$47:$F$4000,Dados!$C$47:$C$4000,"Despesa",Dados!$D$47:$D$4000,$B26,Dados!$A$47:$A$4000,Dados!$A$38),""))</f>
        <v/>
      </c>
      <c r="L26" s="20">
        <f>IF($B26="","",IF(Dados!$C$39=1,SUMIFS(Dados!$F$47:$F$4000,Dados!$C$47:$C$4000,"Despesa",Dados!$D$47:$D$4000,$B26,Dados!$A$47:$A$4000,Dados!$A$39),""))</f>
        <v/>
      </c>
      <c r="M26" s="20">
        <f>IF($B26="","",IF(Dados!$C$40=1,SUMIFS(Dados!$F$47:$F$4000,Dados!$C$47:$C$4000,"Despesa",Dados!$D$47:$D$4000,$B26,Dados!$A$47:$A$4000,Dados!$A$40),""))</f>
        <v/>
      </c>
      <c r="N26" s="20">
        <f>IF($B26="","",IF(Dados!$C$41=1,SUMIFS(Dados!$F$47:$F$4000,Dados!$C$47:$C$4000,"Despesa",Dados!$D$47:$D$4000,$B26,Dados!$A$47:$A$4000,Dados!$A$41),""))</f>
        <v/>
      </c>
      <c r="O26" s="20">
        <f>IF($B26="","",SUM(C26:N26))</f>
        <v/>
      </c>
      <c r="P26" s="30">
        <f>IF($B26="","",IFERROR(O26/$O$30,""))</f>
        <v/>
      </c>
      <c r="Q26" s="29">
        <f>IF($B26="","",SUMIFS(Dados!$F$47:$F$4000,Dados!$C$47:$C$4000,"Despesa",Dados!$D$47:$D$4000,$B26,Dados!$A$47:$A$4000,"&gt;="&amp;Dados!$A$18,Dados!$A$47:$A$4000,"&lt;="&amp;Dados!$A$29))</f>
        <v/>
      </c>
    </row>
    <row r="27">
      <c r="B27" s="18">
        <f>IF(Dados!$AQ$27="","",Dados!$AQ$27)</f>
        <v/>
      </c>
      <c r="C27" s="20">
        <f>IF($B27="","",IF(Dados!$C$30=1,SUMIFS(Dados!$F$47:$F$4000,Dados!$C$47:$C$4000,"Despesa",Dados!$D$47:$D$4000,$B27,Dados!$A$47:$A$4000,Dados!$A$30),""))</f>
        <v/>
      </c>
      <c r="D27" s="20">
        <f>IF($B27="","",IF(Dados!$C$31=1,SUMIFS(Dados!$F$47:$F$4000,Dados!$C$47:$C$4000,"Despesa",Dados!$D$47:$D$4000,$B27,Dados!$A$47:$A$4000,Dados!$A$31),""))</f>
        <v/>
      </c>
      <c r="E27" s="20">
        <f>IF($B27="","",IF(Dados!$C$32=1,SUMIFS(Dados!$F$47:$F$4000,Dados!$C$47:$C$4000,"Despesa",Dados!$D$47:$D$4000,$B27,Dados!$A$47:$A$4000,Dados!$A$32),""))</f>
        <v/>
      </c>
      <c r="F27" s="20">
        <f>IF($B27="","",IF(Dados!$C$33=1,SUMIFS(Dados!$F$47:$F$4000,Dados!$C$47:$C$4000,"Despesa",Dados!$D$47:$D$4000,$B27,Dados!$A$47:$A$4000,Dados!$A$33),""))</f>
        <v/>
      </c>
      <c r="G27" s="20">
        <f>IF($B27="","",IF(Dados!$C$34=1,SUMIFS(Dados!$F$47:$F$4000,Dados!$C$47:$C$4000,"Despesa",Dados!$D$47:$D$4000,$B27,Dados!$A$47:$A$4000,Dados!$A$34),""))</f>
        <v/>
      </c>
      <c r="H27" s="20">
        <f>IF($B27="","",IF(Dados!$C$35=1,SUMIFS(Dados!$F$47:$F$4000,Dados!$C$47:$C$4000,"Despesa",Dados!$D$47:$D$4000,$B27,Dados!$A$47:$A$4000,Dados!$A$35),""))</f>
        <v/>
      </c>
      <c r="I27" s="20">
        <f>IF($B27="","",IF(Dados!$C$36=1,SUMIFS(Dados!$F$47:$F$4000,Dados!$C$47:$C$4000,"Despesa",Dados!$D$47:$D$4000,$B27,Dados!$A$47:$A$4000,Dados!$A$36),""))</f>
        <v/>
      </c>
      <c r="J27" s="20">
        <f>IF($B27="","",IF(Dados!$C$37=1,SUMIFS(Dados!$F$47:$F$4000,Dados!$C$47:$C$4000,"Despesa",Dados!$D$47:$D$4000,$B27,Dados!$A$47:$A$4000,Dados!$A$37),""))</f>
        <v/>
      </c>
      <c r="K27" s="20">
        <f>IF($B27="","",IF(Dados!$C$38=1,SUMIFS(Dados!$F$47:$F$4000,Dados!$C$47:$C$4000,"Despesa",Dados!$D$47:$D$4000,$B27,Dados!$A$47:$A$4000,Dados!$A$38),""))</f>
        <v/>
      </c>
      <c r="L27" s="20">
        <f>IF($B27="","",IF(Dados!$C$39=1,SUMIFS(Dados!$F$47:$F$4000,Dados!$C$47:$C$4000,"Despesa",Dados!$D$47:$D$4000,$B27,Dados!$A$47:$A$4000,Dados!$A$39),""))</f>
        <v/>
      </c>
      <c r="M27" s="20">
        <f>IF($B27="","",IF(Dados!$C$40=1,SUMIFS(Dados!$F$47:$F$4000,Dados!$C$47:$C$4000,"Despesa",Dados!$D$47:$D$4000,$B27,Dados!$A$47:$A$4000,Dados!$A$40),""))</f>
        <v/>
      </c>
      <c r="N27" s="20">
        <f>IF($B27="","",IF(Dados!$C$41=1,SUMIFS(Dados!$F$47:$F$4000,Dados!$C$47:$C$4000,"Despesa",Dados!$D$47:$D$4000,$B27,Dados!$A$47:$A$4000,Dados!$A$41),""))</f>
        <v/>
      </c>
      <c r="O27" s="20">
        <f>IF($B27="","",SUM(C27:N27))</f>
        <v/>
      </c>
      <c r="P27" s="30">
        <f>IF($B27="","",IFERROR(O27/$O$30,""))</f>
        <v/>
      </c>
      <c r="Q27" s="29">
        <f>IF($B27="","",SUMIFS(Dados!$F$47:$F$4000,Dados!$C$47:$C$4000,"Despesa",Dados!$D$47:$D$4000,$B27,Dados!$A$47:$A$4000,"&gt;="&amp;Dados!$A$18,Dados!$A$47:$A$4000,"&lt;="&amp;Dados!$A$29))</f>
        <v/>
      </c>
    </row>
    <row r="28">
      <c r="B28" s="18">
        <f>IF(Dados!$AQ$28="","",Dados!$AQ$28)</f>
        <v/>
      </c>
      <c r="C28" s="20">
        <f>IF($B28="","",IF(Dados!$C$30=1,SUMIFS(Dados!$F$47:$F$4000,Dados!$C$47:$C$4000,"Despesa",Dados!$D$47:$D$4000,$B28,Dados!$A$47:$A$4000,Dados!$A$30),""))</f>
        <v/>
      </c>
      <c r="D28" s="20">
        <f>IF($B28="","",IF(Dados!$C$31=1,SUMIFS(Dados!$F$47:$F$4000,Dados!$C$47:$C$4000,"Despesa",Dados!$D$47:$D$4000,$B28,Dados!$A$47:$A$4000,Dados!$A$31),""))</f>
        <v/>
      </c>
      <c r="E28" s="20">
        <f>IF($B28="","",IF(Dados!$C$32=1,SUMIFS(Dados!$F$47:$F$4000,Dados!$C$47:$C$4000,"Despesa",Dados!$D$47:$D$4000,$B28,Dados!$A$47:$A$4000,Dados!$A$32),""))</f>
        <v/>
      </c>
      <c r="F28" s="20">
        <f>IF($B28="","",IF(Dados!$C$33=1,SUMIFS(Dados!$F$47:$F$4000,Dados!$C$47:$C$4000,"Despesa",Dados!$D$47:$D$4000,$B28,Dados!$A$47:$A$4000,Dados!$A$33),""))</f>
        <v/>
      </c>
      <c r="G28" s="20">
        <f>IF($B28="","",IF(Dados!$C$34=1,SUMIFS(Dados!$F$47:$F$4000,Dados!$C$47:$C$4000,"Despesa",Dados!$D$47:$D$4000,$B28,Dados!$A$47:$A$4000,Dados!$A$34),""))</f>
        <v/>
      </c>
      <c r="H28" s="20">
        <f>IF($B28="","",IF(Dados!$C$35=1,SUMIFS(Dados!$F$47:$F$4000,Dados!$C$47:$C$4000,"Despesa",Dados!$D$47:$D$4000,$B28,Dados!$A$47:$A$4000,Dados!$A$35),""))</f>
        <v/>
      </c>
      <c r="I28" s="20">
        <f>IF($B28="","",IF(Dados!$C$36=1,SUMIFS(Dados!$F$47:$F$4000,Dados!$C$47:$C$4000,"Despesa",Dados!$D$47:$D$4000,$B28,Dados!$A$47:$A$4000,Dados!$A$36),""))</f>
        <v/>
      </c>
      <c r="J28" s="20">
        <f>IF($B28="","",IF(Dados!$C$37=1,SUMIFS(Dados!$F$47:$F$4000,Dados!$C$47:$C$4000,"Despesa",Dados!$D$47:$D$4000,$B28,Dados!$A$47:$A$4000,Dados!$A$37),""))</f>
        <v/>
      </c>
      <c r="K28" s="20">
        <f>IF($B28="","",IF(Dados!$C$38=1,SUMIFS(Dados!$F$47:$F$4000,Dados!$C$47:$C$4000,"Despesa",Dados!$D$47:$D$4000,$B28,Dados!$A$47:$A$4000,Dados!$A$38),""))</f>
        <v/>
      </c>
      <c r="L28" s="20">
        <f>IF($B28="","",IF(Dados!$C$39=1,SUMIFS(Dados!$F$47:$F$4000,Dados!$C$47:$C$4000,"Despesa",Dados!$D$47:$D$4000,$B28,Dados!$A$47:$A$4000,Dados!$A$39),""))</f>
        <v/>
      </c>
      <c r="M28" s="20">
        <f>IF($B28="","",IF(Dados!$C$40=1,SUMIFS(Dados!$F$47:$F$4000,Dados!$C$47:$C$4000,"Despesa",Dados!$D$47:$D$4000,$B28,Dados!$A$47:$A$4000,Dados!$A$40),""))</f>
        <v/>
      </c>
      <c r="N28" s="20">
        <f>IF($B28="","",IF(Dados!$C$41=1,SUMIFS(Dados!$F$47:$F$4000,Dados!$C$47:$C$4000,"Despesa",Dados!$D$47:$D$4000,$B28,Dados!$A$47:$A$4000,Dados!$A$41),""))</f>
        <v/>
      </c>
      <c r="O28" s="20">
        <f>IF($B28="","",SUM(C28:N28))</f>
        <v/>
      </c>
      <c r="P28" s="30">
        <f>IF($B28="","",IFERROR(O28/$O$30,""))</f>
        <v/>
      </c>
      <c r="Q28" s="29">
        <f>IF($B28="","",SUMIFS(Dados!$F$47:$F$4000,Dados!$C$47:$C$4000,"Despesa",Dados!$D$47:$D$4000,$B28,Dados!$A$47:$A$4000,"&gt;="&amp;Dados!$A$18,Dados!$A$47:$A$4000,"&lt;="&amp;Dados!$A$29))</f>
        <v/>
      </c>
    </row>
    <row r="29">
      <c r="B29" s="18">
        <f>IF(Dados!$AQ$29="","",Dados!$AQ$29)</f>
        <v/>
      </c>
      <c r="C29" s="20">
        <f>IF($B29="","",IF(Dados!$C$30=1,SUMIFS(Dados!$F$47:$F$4000,Dados!$C$47:$C$4000,"Despesa",Dados!$D$47:$D$4000,$B29,Dados!$A$47:$A$4000,Dados!$A$30),""))</f>
        <v/>
      </c>
      <c r="D29" s="20">
        <f>IF($B29="","",IF(Dados!$C$31=1,SUMIFS(Dados!$F$47:$F$4000,Dados!$C$47:$C$4000,"Despesa",Dados!$D$47:$D$4000,$B29,Dados!$A$47:$A$4000,Dados!$A$31),""))</f>
        <v/>
      </c>
      <c r="E29" s="20">
        <f>IF($B29="","",IF(Dados!$C$32=1,SUMIFS(Dados!$F$47:$F$4000,Dados!$C$47:$C$4000,"Despesa",Dados!$D$47:$D$4000,$B29,Dados!$A$47:$A$4000,Dados!$A$32),""))</f>
        <v/>
      </c>
      <c r="F29" s="20">
        <f>IF($B29="","",IF(Dados!$C$33=1,SUMIFS(Dados!$F$47:$F$4000,Dados!$C$47:$C$4000,"Despesa",Dados!$D$47:$D$4000,$B29,Dados!$A$47:$A$4000,Dados!$A$33),""))</f>
        <v/>
      </c>
      <c r="G29" s="20">
        <f>IF($B29="","",IF(Dados!$C$34=1,SUMIFS(Dados!$F$47:$F$4000,Dados!$C$47:$C$4000,"Despesa",Dados!$D$47:$D$4000,$B29,Dados!$A$47:$A$4000,Dados!$A$34),""))</f>
        <v/>
      </c>
      <c r="H29" s="20">
        <f>IF($B29="","",IF(Dados!$C$35=1,SUMIFS(Dados!$F$47:$F$4000,Dados!$C$47:$C$4000,"Despesa",Dados!$D$47:$D$4000,$B29,Dados!$A$47:$A$4000,Dados!$A$35),""))</f>
        <v/>
      </c>
      <c r="I29" s="20">
        <f>IF($B29="","",IF(Dados!$C$36=1,SUMIFS(Dados!$F$47:$F$4000,Dados!$C$47:$C$4000,"Despesa",Dados!$D$47:$D$4000,$B29,Dados!$A$47:$A$4000,Dados!$A$36),""))</f>
        <v/>
      </c>
      <c r="J29" s="20">
        <f>IF($B29="","",IF(Dados!$C$37=1,SUMIFS(Dados!$F$47:$F$4000,Dados!$C$47:$C$4000,"Despesa",Dados!$D$47:$D$4000,$B29,Dados!$A$47:$A$4000,Dados!$A$37),""))</f>
        <v/>
      </c>
      <c r="K29" s="20">
        <f>IF($B29="","",IF(Dados!$C$38=1,SUMIFS(Dados!$F$47:$F$4000,Dados!$C$47:$C$4000,"Despesa",Dados!$D$47:$D$4000,$B29,Dados!$A$47:$A$4000,Dados!$A$38),""))</f>
        <v/>
      </c>
      <c r="L29" s="20">
        <f>IF($B29="","",IF(Dados!$C$39=1,SUMIFS(Dados!$F$47:$F$4000,Dados!$C$47:$C$4000,"Despesa",Dados!$D$47:$D$4000,$B29,Dados!$A$47:$A$4000,Dados!$A$39),""))</f>
        <v/>
      </c>
      <c r="M29" s="20">
        <f>IF($B29="","",IF(Dados!$C$40=1,SUMIFS(Dados!$F$47:$F$4000,Dados!$C$47:$C$4000,"Despesa",Dados!$D$47:$D$4000,$B29,Dados!$A$47:$A$4000,Dados!$A$40),""))</f>
        <v/>
      </c>
      <c r="N29" s="20">
        <f>IF($B29="","",IF(Dados!$C$41=1,SUMIFS(Dados!$F$47:$F$4000,Dados!$C$47:$C$4000,"Despesa",Dados!$D$47:$D$4000,$B29,Dados!$A$47:$A$4000,Dados!$A$41),""))</f>
        <v/>
      </c>
      <c r="O29" s="20">
        <f>IF($B29="","",SUM(C29:N29))</f>
        <v/>
      </c>
      <c r="P29" s="30">
        <f>IF($B29="","",IFERROR(O29/$O$30,""))</f>
        <v/>
      </c>
      <c r="Q29" s="29">
        <f>IF($B29="","",SUMIFS(Dados!$F$47:$F$4000,Dados!$C$47:$C$4000,"Despesa",Dados!$D$47:$D$4000,$B29,Dados!$A$47:$A$4000,"&gt;="&amp;Dados!$A$18,Dados!$A$47:$A$4000,"&lt;="&amp;Dados!$A$29))</f>
        <v/>
      </c>
    </row>
    <row r="30">
      <c r="B30" s="26" t="inlineStr">
        <is>
          <t>Total pago</t>
        </is>
      </c>
      <c r="C30" s="27">
        <f>IF(Dados!$C$30=1,SUM(C5:C29),"")</f>
        <v/>
      </c>
      <c r="D30" s="27">
        <f>IF(Dados!$C$31=1,SUM(D5:D29),"")</f>
        <v/>
      </c>
      <c r="E30" s="27">
        <f>IF(Dados!$C$32=1,SUM(E5:E29),"")</f>
        <v/>
      </c>
      <c r="F30" s="27">
        <f>IF(Dados!$C$33=1,SUM(F5:F29),"")</f>
        <v/>
      </c>
      <c r="G30" s="27">
        <f>IF(Dados!$C$34=1,SUM(G5:G29),"")</f>
        <v/>
      </c>
      <c r="H30" s="27">
        <f>IF(Dados!$C$35=1,SUM(H5:H29),"")</f>
        <v/>
      </c>
      <c r="I30" s="27">
        <f>IF(Dados!$C$36=1,SUM(I5:I29),"")</f>
        <v/>
      </c>
      <c r="J30" s="27">
        <f>IF(Dados!$C$37=1,SUM(J5:J29),"")</f>
        <v/>
      </c>
      <c r="K30" s="27">
        <f>IF(Dados!$C$38=1,SUM(K5:K29),"")</f>
        <v/>
      </c>
      <c r="L30" s="27">
        <f>IF(Dados!$C$39=1,SUM(L5:L29),"")</f>
        <v/>
      </c>
      <c r="M30" s="27">
        <f>IF(Dados!$C$40=1,SUM(M5:M29),"")</f>
        <v/>
      </c>
      <c r="N30" s="27">
        <f>IF(Dados!$C$41=1,SUM(N5:N29),"")</f>
        <v/>
      </c>
      <c r="O30" s="27">
        <f>SUM(O5:O29)</f>
        <v/>
      </c>
      <c r="P30" s="35">
        <f>IFERROR(O30/O30,"")</f>
        <v/>
      </c>
      <c r="Q30" s="27">
        <f>IF(SUM(Q5:Q29)=0,"sem detalhe",SUM(Q5:Q29))</f>
        <v/>
      </c>
    </row>
    <row r="31">
      <c r="B31" s="28" t="inlineStr">
        <is>
          <t>Pago no mês (Resultado)</t>
        </is>
      </c>
      <c r="C31" s="29">
        <f>IF(Dados!$C$30=1,Dados!$E$30,"")</f>
        <v/>
      </c>
      <c r="D31" s="29">
        <f>IF(Dados!$C$31=1,Dados!$E$31,"")</f>
        <v/>
      </c>
      <c r="E31" s="29">
        <f>IF(Dados!$C$32=1,Dados!$E$32,"")</f>
        <v/>
      </c>
      <c r="F31" s="29">
        <f>IF(Dados!$C$33=1,Dados!$E$33,"")</f>
        <v/>
      </c>
      <c r="G31" s="29">
        <f>IF(Dados!$C$34=1,Dados!$E$34,"")</f>
        <v/>
      </c>
      <c r="H31" s="29">
        <f>IF(Dados!$C$35=1,Dados!$E$35,"")</f>
        <v/>
      </c>
      <c r="I31" s="29">
        <f>IF(Dados!$C$36=1,Dados!$E$36,"")</f>
        <v/>
      </c>
      <c r="J31" s="29">
        <f>IF(Dados!$C$37=1,Dados!$E$37,"")</f>
        <v/>
      </c>
      <c r="K31" s="29">
        <f>IF(Dados!$C$38=1,Dados!$E$38,"")</f>
        <v/>
      </c>
      <c r="L31" s="29">
        <f>IF(Dados!$C$39=1,Dados!$E$39,"")</f>
        <v/>
      </c>
      <c r="M31" s="29">
        <f>IF(Dados!$C$40=1,Dados!$E$40,"")</f>
        <v/>
      </c>
      <c r="N31" s="29">
        <f>IF(Dados!$C$41=1,Dados!$E$41,"")</f>
        <v/>
      </c>
      <c r="O31" s="29">
        <f>SUM(C31:N31)</f>
        <v/>
      </c>
    </row>
    <row r="33">
      <c r="B33" s="15">
        <f>"Maiores fornecedores pagos em "&amp;Dados!$AI$8</f>
        <v/>
      </c>
    </row>
    <row r="34">
      <c r="B34" s="16" t="inlineStr">
        <is>
          <t>Fornecedor</t>
        </is>
      </c>
      <c r="C34" s="17" t="inlineStr">
        <is>
          <t>Valor</t>
        </is>
      </c>
      <c r="D34" s="17" t="inlineStr">
        <is>
          <t>% do pago</t>
        </is>
      </c>
    </row>
    <row r="35">
      <c r="B35" s="36">
        <f>IF(Dados!$AS$5="","",Dados!$AS$5)</f>
        <v/>
      </c>
      <c r="C35" s="20">
        <f>IF($B35="","",SUMIFS(Dados!$F$47:$F$4000,Dados!$C$47:$C$4000,"Fornecedor",Dados!$D$47:$D$4000,$B35,Dados!$A$47:$A$4000,Dados!$AI$5))</f>
        <v/>
      </c>
      <c r="D35" s="30">
        <f>IF($B35="","",IFERROR(C35/VLOOKUP(Dados!$AI$5,Dados!$A$5:$AF$41,5,FALSE),""))</f>
        <v/>
      </c>
    </row>
    <row r="36">
      <c r="B36" s="36">
        <f>IF(Dados!$AS$6="","",Dados!$AS$6)</f>
        <v/>
      </c>
      <c r="C36" s="20">
        <f>IF($B36="","",SUMIFS(Dados!$F$47:$F$4000,Dados!$C$47:$C$4000,"Fornecedor",Dados!$D$47:$D$4000,$B36,Dados!$A$47:$A$4000,Dados!$AI$5))</f>
        <v/>
      </c>
      <c r="D36" s="30">
        <f>IF($B36="","",IFERROR(C36/VLOOKUP(Dados!$AI$5,Dados!$A$5:$AF$41,5,FALSE),""))</f>
        <v/>
      </c>
    </row>
    <row r="37">
      <c r="B37" s="36">
        <f>IF(Dados!$AS$7="","",Dados!$AS$7)</f>
        <v/>
      </c>
      <c r="C37" s="20">
        <f>IF($B37="","",SUMIFS(Dados!$F$47:$F$4000,Dados!$C$47:$C$4000,"Fornecedor",Dados!$D$47:$D$4000,$B37,Dados!$A$47:$A$4000,Dados!$AI$5))</f>
        <v/>
      </c>
      <c r="D37" s="30">
        <f>IF($B37="","",IFERROR(C37/VLOOKUP(Dados!$AI$5,Dados!$A$5:$AF$41,5,FALSE),""))</f>
        <v/>
      </c>
    </row>
    <row r="38">
      <c r="B38" s="36">
        <f>IF(Dados!$AS$8="","",Dados!$AS$8)</f>
        <v/>
      </c>
      <c r="C38" s="20">
        <f>IF($B38="","",SUMIFS(Dados!$F$47:$F$4000,Dados!$C$47:$C$4000,"Fornecedor",Dados!$D$47:$D$4000,$B38,Dados!$A$47:$A$4000,Dados!$AI$5))</f>
        <v/>
      </c>
      <c r="D38" s="30">
        <f>IF($B38="","",IFERROR(C38/VLOOKUP(Dados!$AI$5,Dados!$A$5:$AF$41,5,FALSE),""))</f>
        <v/>
      </c>
    </row>
    <row r="39">
      <c r="B39" s="36">
        <f>IF(Dados!$AS$9="","",Dados!$AS$9)</f>
        <v/>
      </c>
      <c r="C39" s="20">
        <f>IF($B39="","",SUMIFS(Dados!$F$47:$F$4000,Dados!$C$47:$C$4000,"Fornecedor",Dados!$D$47:$D$4000,$B39,Dados!$A$47:$A$4000,Dados!$AI$5))</f>
        <v/>
      </c>
      <c r="D39" s="30">
        <f>IF($B39="","",IFERROR(C39/VLOOKUP(Dados!$AI$5,Dados!$A$5:$AF$41,5,FALSE),""))</f>
        <v/>
      </c>
    </row>
    <row r="40">
      <c r="B40" s="36">
        <f>IF(Dados!$AS$10="","",Dados!$AS$10)</f>
        <v/>
      </c>
      <c r="C40" s="20">
        <f>IF($B40="","",SUMIFS(Dados!$F$47:$F$4000,Dados!$C$47:$C$4000,"Fornecedor",Dados!$D$47:$D$4000,$B40,Dados!$A$47:$A$4000,Dados!$AI$5))</f>
        <v/>
      </c>
      <c r="D40" s="30">
        <f>IF($B40="","",IFERROR(C40/VLOOKUP(Dados!$AI$5,Dados!$A$5:$AF$41,5,FALSE),""))</f>
        <v/>
      </c>
    </row>
    <row r="41">
      <c r="B41" s="36">
        <f>IF(Dados!$AS$11="","",Dados!$AS$11)</f>
        <v/>
      </c>
      <c r="C41" s="20">
        <f>IF($B41="","",SUMIFS(Dados!$F$47:$F$4000,Dados!$C$47:$C$4000,"Fornecedor",Dados!$D$47:$D$4000,$B41,Dados!$A$47:$A$4000,Dados!$AI$5))</f>
        <v/>
      </c>
      <c r="D41" s="30">
        <f>IF($B41="","",IFERROR(C41/VLOOKUP(Dados!$AI$5,Dados!$A$5:$AF$41,5,FALSE),""))</f>
        <v/>
      </c>
    </row>
    <row r="42">
      <c r="B42" s="36">
        <f>IF(Dados!$AS$12="","",Dados!$AS$12)</f>
        <v/>
      </c>
      <c r="C42" s="20">
        <f>IF($B42="","",SUMIFS(Dados!$F$47:$F$4000,Dados!$C$47:$C$4000,"Fornecedor",Dados!$D$47:$D$4000,$B42,Dados!$A$47:$A$4000,Dados!$AI$5))</f>
        <v/>
      </c>
      <c r="D42" s="30">
        <f>IF($B42="","",IFERROR(C42/VLOOKUP(Dados!$AI$5,Dados!$A$5:$AF$41,5,FALSE),""))</f>
        <v/>
      </c>
    </row>
    <row r="43">
      <c r="B43" s="36">
        <f>IF(Dados!$AS$13="","",Dados!$AS$13)</f>
        <v/>
      </c>
      <c r="C43" s="20">
        <f>IF($B43="","",SUMIFS(Dados!$F$47:$F$4000,Dados!$C$47:$C$4000,"Fornecedor",Dados!$D$47:$D$4000,$B43,Dados!$A$47:$A$4000,Dados!$AI$5))</f>
        <v/>
      </c>
      <c r="D43" s="30">
        <f>IF($B43="","",IFERROR(C43/VLOOKUP(Dados!$AI$5,Dados!$A$5:$AF$41,5,FALSE),""))</f>
        <v/>
      </c>
    </row>
    <row r="44">
      <c r="B44" s="36">
        <f>IF(Dados!$AS$14="","",Dados!$AS$14)</f>
        <v/>
      </c>
      <c r="C44" s="20">
        <f>IF($B44="","",SUMIFS(Dados!$F$47:$F$4000,Dados!$C$47:$C$4000,"Fornecedor",Dados!$D$47:$D$4000,$B44,Dados!$A$47:$A$4000,Dados!$AI$5))</f>
        <v/>
      </c>
      <c r="D44" s="30">
        <f>IF($B44="","",IFERROR(C44/VLOOKUP(Dados!$AI$5,Dados!$A$5:$AF$41,5,FALSE),""))</f>
        <v/>
      </c>
    </row>
    <row r="46">
      <c r="B46" s="23" t="inlineStr">
        <is>
          <t>Inclui retiradas dos sócios e impostos, como no extrato.</t>
        </is>
      </c>
    </row>
    <row r="47">
      <c r="B47" s="23" t="inlineStr">
        <is>
          <t>"sem detalhe": ano importado só com o total pago.</t>
        </is>
      </c>
    </row>
  </sheetData>
  <conditionalFormatting sqref="C4:N4">
    <cfRule type="expression" priority="1" dxfId="1">
      <formula>COLUMN(C4)-2=Dados!$AI$6</formula>
    </cfRule>
  </conditionalFormatting>
  <conditionalFormatting sqref="C5:N30">
    <cfRule type="expression" priority="2" dxfId="3">
      <formula>COLUMN(C5)-2=Dados!$AI$6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&amp;L&amp;"Montserrat"&amp;8 AviZee · Workbook de Fechamento&amp;R&amp;"Montserrat"&amp;8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2592C"/>
    <outlinePr summaryBelow="1" summaryRight="1"/>
    <pageSetUpPr fitToPage="1"/>
  </sheetPr>
  <dimension ref="B1:S49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1.5" customWidth="1" min="15" max="15"/>
    <col width="7" customWidth="1" min="16" max="16"/>
    <col width="7" customWidth="1" min="17" max="17"/>
    <col width="9.5" customWidth="1" min="18" max="18"/>
    <col width="11.5" customWidth="1" min="19" max="19"/>
  </cols>
  <sheetData>
    <row r="1" ht="30" customHeight="1">
      <c r="B1" s="24">
        <f>"Clientes · "&amp;Dados!$AI$7</f>
        <v/>
      </c>
    </row>
    <row r="2" ht="16" customHeight="1">
      <c r="B2" s="3" t="inlineStr">
        <is>
          <t>Faturamento por grupo econômico (CNPJ raiz), do maior para o menor no ano · curva ABC: A até 80% do total, B até 95% · R$</t>
        </is>
      </c>
    </row>
    <row r="3" ht="8" customHeight="1"/>
    <row r="4" ht="20" customHeight="1">
      <c r="B4" s="16" t="inlineStr">
        <is>
          <t>Cliente (grupo)</t>
        </is>
      </c>
      <c r="C4" s="17" t="inlineStr">
        <is>
          <t>jan</t>
        </is>
      </c>
      <c r="D4" s="17" t="inlineStr">
        <is>
          <t>fev</t>
        </is>
      </c>
      <c r="E4" s="17" t="inlineStr">
        <is>
          <t>mar</t>
        </is>
      </c>
      <c r="F4" s="17" t="inlineStr">
        <is>
          <t>abr</t>
        </is>
      </c>
      <c r="G4" s="17" t="inlineStr">
        <is>
          <t>mai</t>
        </is>
      </c>
      <c r="H4" s="17" t="inlineStr">
        <is>
          <t>jun</t>
        </is>
      </c>
      <c r="I4" s="17" t="inlineStr">
        <is>
          <t>jul</t>
        </is>
      </c>
      <c r="J4" s="17" t="inlineStr">
        <is>
          <t>ago</t>
        </is>
      </c>
      <c r="K4" s="17" t="inlineStr">
        <is>
          <t>set</t>
        </is>
      </c>
      <c r="L4" s="17" t="inlineStr">
        <is>
          <t>out</t>
        </is>
      </c>
      <c r="M4" s="17" t="inlineStr">
        <is>
          <t>nov</t>
        </is>
      </c>
      <c r="N4" s="17" t="inlineStr">
        <is>
          <t>dez</t>
        </is>
      </c>
      <c r="O4" s="17" t="inlineStr">
        <is>
          <t>Ano</t>
        </is>
      </c>
      <c r="P4" s="17" t="inlineStr">
        <is>
          <t>%</t>
        </is>
      </c>
      <c r="Q4" s="17" t="inlineStr">
        <is>
          <t>Curva</t>
        </is>
      </c>
      <c r="R4" s="17" t="inlineStr">
        <is>
          <t>1ª compra</t>
        </is>
      </c>
      <c r="S4" s="17">
        <f>"Em "&amp;(Dados!$AI$7-1)</f>
        <v/>
      </c>
    </row>
    <row r="5">
      <c r="B5" s="18">
        <f>IF(Dados!$AK$5="","",Dados!$AK$5)</f>
        <v/>
      </c>
      <c r="C5" s="20">
        <f>IF($B5="","",IF(Dados!$C$30=1,SUMIFS(Dados!$F$47:$F$4000,Dados!$C$47:$C$4000,"Cliente",Dados!$D$47:$D$4000,$B5,Dados!$A$47:$A$4000,Dados!$A$30),""))</f>
        <v/>
      </c>
      <c r="D5" s="20">
        <f>IF($B5="","",IF(Dados!$C$31=1,SUMIFS(Dados!$F$47:$F$4000,Dados!$C$47:$C$4000,"Cliente",Dados!$D$47:$D$4000,$B5,Dados!$A$47:$A$4000,Dados!$A$31),""))</f>
        <v/>
      </c>
      <c r="E5" s="20">
        <f>IF($B5="","",IF(Dados!$C$32=1,SUMIFS(Dados!$F$47:$F$4000,Dados!$C$47:$C$4000,"Cliente",Dados!$D$47:$D$4000,$B5,Dados!$A$47:$A$4000,Dados!$A$32),""))</f>
        <v/>
      </c>
      <c r="F5" s="20">
        <f>IF($B5="","",IF(Dados!$C$33=1,SUMIFS(Dados!$F$47:$F$4000,Dados!$C$47:$C$4000,"Cliente",Dados!$D$47:$D$4000,$B5,Dados!$A$47:$A$4000,Dados!$A$33),""))</f>
        <v/>
      </c>
      <c r="G5" s="20">
        <f>IF($B5="","",IF(Dados!$C$34=1,SUMIFS(Dados!$F$47:$F$4000,Dados!$C$47:$C$4000,"Cliente",Dados!$D$47:$D$4000,$B5,Dados!$A$47:$A$4000,Dados!$A$34),""))</f>
        <v/>
      </c>
      <c r="H5" s="20">
        <f>IF($B5="","",IF(Dados!$C$35=1,SUMIFS(Dados!$F$47:$F$4000,Dados!$C$47:$C$4000,"Cliente",Dados!$D$47:$D$4000,$B5,Dados!$A$47:$A$4000,Dados!$A$35),""))</f>
        <v/>
      </c>
      <c r="I5" s="20">
        <f>IF($B5="","",IF(Dados!$C$36=1,SUMIFS(Dados!$F$47:$F$4000,Dados!$C$47:$C$4000,"Cliente",Dados!$D$47:$D$4000,$B5,Dados!$A$47:$A$4000,Dados!$A$36),""))</f>
        <v/>
      </c>
      <c r="J5" s="20">
        <f>IF($B5="","",IF(Dados!$C$37=1,SUMIFS(Dados!$F$47:$F$4000,Dados!$C$47:$C$4000,"Cliente",Dados!$D$47:$D$4000,$B5,Dados!$A$47:$A$4000,Dados!$A$37),""))</f>
        <v/>
      </c>
      <c r="K5" s="20">
        <f>IF($B5="","",IF(Dados!$C$38=1,SUMIFS(Dados!$F$47:$F$4000,Dados!$C$47:$C$4000,"Cliente",Dados!$D$47:$D$4000,$B5,Dados!$A$47:$A$4000,Dados!$A$38),""))</f>
        <v/>
      </c>
      <c r="L5" s="20">
        <f>IF($B5="","",IF(Dados!$C$39=1,SUMIFS(Dados!$F$47:$F$4000,Dados!$C$47:$C$4000,"Cliente",Dados!$D$47:$D$4000,$B5,Dados!$A$47:$A$4000,Dados!$A$39),""))</f>
        <v/>
      </c>
      <c r="M5" s="20">
        <f>IF($B5="","",IF(Dados!$C$40=1,SUMIFS(Dados!$F$47:$F$4000,Dados!$C$47:$C$4000,"Cliente",Dados!$D$47:$D$4000,$B5,Dados!$A$47:$A$4000,Dados!$A$40),""))</f>
        <v/>
      </c>
      <c r="N5" s="20">
        <f>IF($B5="","",IF(Dados!$C$41=1,SUMIFS(Dados!$F$47:$F$4000,Dados!$C$47:$C$4000,"Cliente",Dados!$D$47:$D$4000,$B5,Dados!$A$47:$A$4000,Dados!$A$41),""))</f>
        <v/>
      </c>
      <c r="O5" s="20">
        <f>IF($B5="","",SUM(C5:N5))</f>
        <v/>
      </c>
      <c r="P5" s="30">
        <f>IF($B5="","",IFERROR(O5/$O$46,""))</f>
        <v/>
      </c>
      <c r="Q5" s="19">
        <f>IF(N(O5)=0,"",IF(SUM($P$5:P5)-P5&lt;0.8,"A",IF(SUM($P$5:P5)-P5&lt;0.95,"B","C")))</f>
        <v/>
      </c>
      <c r="R5" s="37">
        <f>IF(Dados!$AL$5="","",Dados!$AL$5)</f>
        <v/>
      </c>
      <c r="S5" s="29">
        <f>IF($B5="","",SUMIFS(Dados!$F$47:$F$4000,Dados!$C$47:$C$4000,"Cliente",Dados!$D$47:$D$4000,$B5,Dados!$A$47:$A$4000,"&gt;="&amp;Dados!$A$18,Dados!$A$47:$A$4000,"&lt;="&amp;Dados!$A$29))</f>
        <v/>
      </c>
    </row>
    <row r="6">
      <c r="B6" s="18">
        <f>IF(Dados!$AK$6="","",Dados!$AK$6)</f>
        <v/>
      </c>
      <c r="C6" s="20">
        <f>IF($B6="","",IF(Dados!$C$30=1,SUMIFS(Dados!$F$47:$F$4000,Dados!$C$47:$C$4000,"Cliente",Dados!$D$47:$D$4000,$B6,Dados!$A$47:$A$4000,Dados!$A$30),""))</f>
        <v/>
      </c>
      <c r="D6" s="20">
        <f>IF($B6="","",IF(Dados!$C$31=1,SUMIFS(Dados!$F$47:$F$4000,Dados!$C$47:$C$4000,"Cliente",Dados!$D$47:$D$4000,$B6,Dados!$A$47:$A$4000,Dados!$A$31),""))</f>
        <v/>
      </c>
      <c r="E6" s="20">
        <f>IF($B6="","",IF(Dados!$C$32=1,SUMIFS(Dados!$F$47:$F$4000,Dados!$C$47:$C$4000,"Cliente",Dados!$D$47:$D$4000,$B6,Dados!$A$47:$A$4000,Dados!$A$32),""))</f>
        <v/>
      </c>
      <c r="F6" s="20">
        <f>IF($B6="","",IF(Dados!$C$33=1,SUMIFS(Dados!$F$47:$F$4000,Dados!$C$47:$C$4000,"Cliente",Dados!$D$47:$D$4000,$B6,Dados!$A$47:$A$4000,Dados!$A$33),""))</f>
        <v/>
      </c>
      <c r="G6" s="20">
        <f>IF($B6="","",IF(Dados!$C$34=1,SUMIFS(Dados!$F$47:$F$4000,Dados!$C$47:$C$4000,"Cliente",Dados!$D$47:$D$4000,$B6,Dados!$A$47:$A$4000,Dados!$A$34),""))</f>
        <v/>
      </c>
      <c r="H6" s="20">
        <f>IF($B6="","",IF(Dados!$C$35=1,SUMIFS(Dados!$F$47:$F$4000,Dados!$C$47:$C$4000,"Cliente",Dados!$D$47:$D$4000,$B6,Dados!$A$47:$A$4000,Dados!$A$35),""))</f>
        <v/>
      </c>
      <c r="I6" s="20">
        <f>IF($B6="","",IF(Dados!$C$36=1,SUMIFS(Dados!$F$47:$F$4000,Dados!$C$47:$C$4000,"Cliente",Dados!$D$47:$D$4000,$B6,Dados!$A$47:$A$4000,Dados!$A$36),""))</f>
        <v/>
      </c>
      <c r="J6" s="20">
        <f>IF($B6="","",IF(Dados!$C$37=1,SUMIFS(Dados!$F$47:$F$4000,Dados!$C$47:$C$4000,"Cliente",Dados!$D$47:$D$4000,$B6,Dados!$A$47:$A$4000,Dados!$A$37),""))</f>
        <v/>
      </c>
      <c r="K6" s="20">
        <f>IF($B6="","",IF(Dados!$C$38=1,SUMIFS(Dados!$F$47:$F$4000,Dados!$C$47:$C$4000,"Cliente",Dados!$D$47:$D$4000,$B6,Dados!$A$47:$A$4000,Dados!$A$38),""))</f>
        <v/>
      </c>
      <c r="L6" s="20">
        <f>IF($B6="","",IF(Dados!$C$39=1,SUMIFS(Dados!$F$47:$F$4000,Dados!$C$47:$C$4000,"Cliente",Dados!$D$47:$D$4000,$B6,Dados!$A$47:$A$4000,Dados!$A$39),""))</f>
        <v/>
      </c>
      <c r="M6" s="20">
        <f>IF($B6="","",IF(Dados!$C$40=1,SUMIFS(Dados!$F$47:$F$4000,Dados!$C$47:$C$4000,"Cliente",Dados!$D$47:$D$4000,$B6,Dados!$A$47:$A$4000,Dados!$A$40),""))</f>
        <v/>
      </c>
      <c r="N6" s="20">
        <f>IF($B6="","",IF(Dados!$C$41=1,SUMIFS(Dados!$F$47:$F$4000,Dados!$C$47:$C$4000,"Cliente",Dados!$D$47:$D$4000,$B6,Dados!$A$47:$A$4000,Dados!$A$41),""))</f>
        <v/>
      </c>
      <c r="O6" s="20">
        <f>IF($B6="","",SUM(C6:N6))</f>
        <v/>
      </c>
      <c r="P6" s="30">
        <f>IF($B6="","",IFERROR(O6/$O$46,""))</f>
        <v/>
      </c>
      <c r="Q6" s="19">
        <f>IF(N(O6)=0,"",IF(SUM($P$5:P6)-P6&lt;0.8,"A",IF(SUM($P$5:P6)-P6&lt;0.95,"B","C")))</f>
        <v/>
      </c>
      <c r="R6" s="37">
        <f>IF(Dados!$AL$6="","",Dados!$AL$6)</f>
        <v/>
      </c>
      <c r="S6" s="29">
        <f>IF($B6="","",SUMIFS(Dados!$F$47:$F$4000,Dados!$C$47:$C$4000,"Cliente",Dados!$D$47:$D$4000,$B6,Dados!$A$47:$A$4000,"&gt;="&amp;Dados!$A$18,Dados!$A$47:$A$4000,"&lt;="&amp;Dados!$A$29))</f>
        <v/>
      </c>
    </row>
    <row r="7">
      <c r="B7" s="18">
        <f>IF(Dados!$AK$7="","",Dados!$AK$7)</f>
        <v/>
      </c>
      <c r="C7" s="20">
        <f>IF($B7="","",IF(Dados!$C$30=1,SUMIFS(Dados!$F$47:$F$4000,Dados!$C$47:$C$4000,"Cliente",Dados!$D$47:$D$4000,$B7,Dados!$A$47:$A$4000,Dados!$A$30),""))</f>
        <v/>
      </c>
      <c r="D7" s="20">
        <f>IF($B7="","",IF(Dados!$C$31=1,SUMIFS(Dados!$F$47:$F$4000,Dados!$C$47:$C$4000,"Cliente",Dados!$D$47:$D$4000,$B7,Dados!$A$47:$A$4000,Dados!$A$31),""))</f>
        <v/>
      </c>
      <c r="E7" s="20">
        <f>IF($B7="","",IF(Dados!$C$32=1,SUMIFS(Dados!$F$47:$F$4000,Dados!$C$47:$C$4000,"Cliente",Dados!$D$47:$D$4000,$B7,Dados!$A$47:$A$4000,Dados!$A$32),""))</f>
        <v/>
      </c>
      <c r="F7" s="20">
        <f>IF($B7="","",IF(Dados!$C$33=1,SUMIFS(Dados!$F$47:$F$4000,Dados!$C$47:$C$4000,"Cliente",Dados!$D$47:$D$4000,$B7,Dados!$A$47:$A$4000,Dados!$A$33),""))</f>
        <v/>
      </c>
      <c r="G7" s="20">
        <f>IF($B7="","",IF(Dados!$C$34=1,SUMIFS(Dados!$F$47:$F$4000,Dados!$C$47:$C$4000,"Cliente",Dados!$D$47:$D$4000,$B7,Dados!$A$47:$A$4000,Dados!$A$34),""))</f>
        <v/>
      </c>
      <c r="H7" s="20">
        <f>IF($B7="","",IF(Dados!$C$35=1,SUMIFS(Dados!$F$47:$F$4000,Dados!$C$47:$C$4000,"Cliente",Dados!$D$47:$D$4000,$B7,Dados!$A$47:$A$4000,Dados!$A$35),""))</f>
        <v/>
      </c>
      <c r="I7" s="20">
        <f>IF($B7="","",IF(Dados!$C$36=1,SUMIFS(Dados!$F$47:$F$4000,Dados!$C$47:$C$4000,"Cliente",Dados!$D$47:$D$4000,$B7,Dados!$A$47:$A$4000,Dados!$A$36),""))</f>
        <v/>
      </c>
      <c r="J7" s="20">
        <f>IF($B7="","",IF(Dados!$C$37=1,SUMIFS(Dados!$F$47:$F$4000,Dados!$C$47:$C$4000,"Cliente",Dados!$D$47:$D$4000,$B7,Dados!$A$47:$A$4000,Dados!$A$37),""))</f>
        <v/>
      </c>
      <c r="K7" s="20">
        <f>IF($B7="","",IF(Dados!$C$38=1,SUMIFS(Dados!$F$47:$F$4000,Dados!$C$47:$C$4000,"Cliente",Dados!$D$47:$D$4000,$B7,Dados!$A$47:$A$4000,Dados!$A$38),""))</f>
        <v/>
      </c>
      <c r="L7" s="20">
        <f>IF($B7="","",IF(Dados!$C$39=1,SUMIFS(Dados!$F$47:$F$4000,Dados!$C$47:$C$4000,"Cliente",Dados!$D$47:$D$4000,$B7,Dados!$A$47:$A$4000,Dados!$A$39),""))</f>
        <v/>
      </c>
      <c r="M7" s="20">
        <f>IF($B7="","",IF(Dados!$C$40=1,SUMIFS(Dados!$F$47:$F$4000,Dados!$C$47:$C$4000,"Cliente",Dados!$D$47:$D$4000,$B7,Dados!$A$47:$A$4000,Dados!$A$40),""))</f>
        <v/>
      </c>
      <c r="N7" s="20">
        <f>IF($B7="","",IF(Dados!$C$41=1,SUMIFS(Dados!$F$47:$F$4000,Dados!$C$47:$C$4000,"Cliente",Dados!$D$47:$D$4000,$B7,Dados!$A$47:$A$4000,Dados!$A$41),""))</f>
        <v/>
      </c>
      <c r="O7" s="20">
        <f>IF($B7="","",SUM(C7:N7))</f>
        <v/>
      </c>
      <c r="P7" s="30">
        <f>IF($B7="","",IFERROR(O7/$O$46,""))</f>
        <v/>
      </c>
      <c r="Q7" s="19">
        <f>IF(N(O7)=0,"",IF(SUM($P$5:P7)-P7&lt;0.8,"A",IF(SUM($P$5:P7)-P7&lt;0.95,"B","C")))</f>
        <v/>
      </c>
      <c r="R7" s="37">
        <f>IF(Dados!$AL$7="","",Dados!$AL$7)</f>
        <v/>
      </c>
      <c r="S7" s="29">
        <f>IF($B7="","",SUMIFS(Dados!$F$47:$F$4000,Dados!$C$47:$C$4000,"Cliente",Dados!$D$47:$D$4000,$B7,Dados!$A$47:$A$4000,"&gt;="&amp;Dados!$A$18,Dados!$A$47:$A$4000,"&lt;="&amp;Dados!$A$29))</f>
        <v/>
      </c>
    </row>
    <row r="8">
      <c r="B8" s="18">
        <f>IF(Dados!$AK$8="","",Dados!$AK$8)</f>
        <v/>
      </c>
      <c r="C8" s="20">
        <f>IF($B8="","",IF(Dados!$C$30=1,SUMIFS(Dados!$F$47:$F$4000,Dados!$C$47:$C$4000,"Cliente",Dados!$D$47:$D$4000,$B8,Dados!$A$47:$A$4000,Dados!$A$30),""))</f>
        <v/>
      </c>
      <c r="D8" s="20">
        <f>IF($B8="","",IF(Dados!$C$31=1,SUMIFS(Dados!$F$47:$F$4000,Dados!$C$47:$C$4000,"Cliente",Dados!$D$47:$D$4000,$B8,Dados!$A$47:$A$4000,Dados!$A$31),""))</f>
        <v/>
      </c>
      <c r="E8" s="20">
        <f>IF($B8="","",IF(Dados!$C$32=1,SUMIFS(Dados!$F$47:$F$4000,Dados!$C$47:$C$4000,"Cliente",Dados!$D$47:$D$4000,$B8,Dados!$A$47:$A$4000,Dados!$A$32),""))</f>
        <v/>
      </c>
      <c r="F8" s="20">
        <f>IF($B8="","",IF(Dados!$C$33=1,SUMIFS(Dados!$F$47:$F$4000,Dados!$C$47:$C$4000,"Cliente",Dados!$D$47:$D$4000,$B8,Dados!$A$47:$A$4000,Dados!$A$33),""))</f>
        <v/>
      </c>
      <c r="G8" s="20">
        <f>IF($B8="","",IF(Dados!$C$34=1,SUMIFS(Dados!$F$47:$F$4000,Dados!$C$47:$C$4000,"Cliente",Dados!$D$47:$D$4000,$B8,Dados!$A$47:$A$4000,Dados!$A$34),""))</f>
        <v/>
      </c>
      <c r="H8" s="20">
        <f>IF($B8="","",IF(Dados!$C$35=1,SUMIFS(Dados!$F$47:$F$4000,Dados!$C$47:$C$4000,"Cliente",Dados!$D$47:$D$4000,$B8,Dados!$A$47:$A$4000,Dados!$A$35),""))</f>
        <v/>
      </c>
      <c r="I8" s="20">
        <f>IF($B8="","",IF(Dados!$C$36=1,SUMIFS(Dados!$F$47:$F$4000,Dados!$C$47:$C$4000,"Cliente",Dados!$D$47:$D$4000,$B8,Dados!$A$47:$A$4000,Dados!$A$36),""))</f>
        <v/>
      </c>
      <c r="J8" s="20">
        <f>IF($B8="","",IF(Dados!$C$37=1,SUMIFS(Dados!$F$47:$F$4000,Dados!$C$47:$C$4000,"Cliente",Dados!$D$47:$D$4000,$B8,Dados!$A$47:$A$4000,Dados!$A$37),""))</f>
        <v/>
      </c>
      <c r="K8" s="20">
        <f>IF($B8="","",IF(Dados!$C$38=1,SUMIFS(Dados!$F$47:$F$4000,Dados!$C$47:$C$4000,"Cliente",Dados!$D$47:$D$4000,$B8,Dados!$A$47:$A$4000,Dados!$A$38),""))</f>
        <v/>
      </c>
      <c r="L8" s="20">
        <f>IF($B8="","",IF(Dados!$C$39=1,SUMIFS(Dados!$F$47:$F$4000,Dados!$C$47:$C$4000,"Cliente",Dados!$D$47:$D$4000,$B8,Dados!$A$47:$A$4000,Dados!$A$39),""))</f>
        <v/>
      </c>
      <c r="M8" s="20">
        <f>IF($B8="","",IF(Dados!$C$40=1,SUMIFS(Dados!$F$47:$F$4000,Dados!$C$47:$C$4000,"Cliente",Dados!$D$47:$D$4000,$B8,Dados!$A$47:$A$4000,Dados!$A$40),""))</f>
        <v/>
      </c>
      <c r="N8" s="20">
        <f>IF($B8="","",IF(Dados!$C$41=1,SUMIFS(Dados!$F$47:$F$4000,Dados!$C$47:$C$4000,"Cliente",Dados!$D$47:$D$4000,$B8,Dados!$A$47:$A$4000,Dados!$A$41),""))</f>
        <v/>
      </c>
      <c r="O8" s="20">
        <f>IF($B8="","",SUM(C8:N8))</f>
        <v/>
      </c>
      <c r="P8" s="30">
        <f>IF($B8="","",IFERROR(O8/$O$46,""))</f>
        <v/>
      </c>
      <c r="Q8" s="19">
        <f>IF(N(O8)=0,"",IF(SUM($P$5:P8)-P8&lt;0.8,"A",IF(SUM($P$5:P8)-P8&lt;0.95,"B","C")))</f>
        <v/>
      </c>
      <c r="R8" s="37">
        <f>IF(Dados!$AL$8="","",Dados!$AL$8)</f>
        <v/>
      </c>
      <c r="S8" s="29">
        <f>IF($B8="","",SUMIFS(Dados!$F$47:$F$4000,Dados!$C$47:$C$4000,"Cliente",Dados!$D$47:$D$4000,$B8,Dados!$A$47:$A$4000,"&gt;="&amp;Dados!$A$18,Dados!$A$47:$A$4000,"&lt;="&amp;Dados!$A$29))</f>
        <v/>
      </c>
    </row>
    <row r="9">
      <c r="B9" s="18">
        <f>IF(Dados!$AK$9="","",Dados!$AK$9)</f>
        <v/>
      </c>
      <c r="C9" s="20">
        <f>IF($B9="","",IF(Dados!$C$30=1,SUMIFS(Dados!$F$47:$F$4000,Dados!$C$47:$C$4000,"Cliente",Dados!$D$47:$D$4000,$B9,Dados!$A$47:$A$4000,Dados!$A$30),""))</f>
        <v/>
      </c>
      <c r="D9" s="20">
        <f>IF($B9="","",IF(Dados!$C$31=1,SUMIFS(Dados!$F$47:$F$4000,Dados!$C$47:$C$4000,"Cliente",Dados!$D$47:$D$4000,$B9,Dados!$A$47:$A$4000,Dados!$A$31),""))</f>
        <v/>
      </c>
      <c r="E9" s="20">
        <f>IF($B9="","",IF(Dados!$C$32=1,SUMIFS(Dados!$F$47:$F$4000,Dados!$C$47:$C$4000,"Cliente",Dados!$D$47:$D$4000,$B9,Dados!$A$47:$A$4000,Dados!$A$32),""))</f>
        <v/>
      </c>
      <c r="F9" s="20">
        <f>IF($B9="","",IF(Dados!$C$33=1,SUMIFS(Dados!$F$47:$F$4000,Dados!$C$47:$C$4000,"Cliente",Dados!$D$47:$D$4000,$B9,Dados!$A$47:$A$4000,Dados!$A$33),""))</f>
        <v/>
      </c>
      <c r="G9" s="20">
        <f>IF($B9="","",IF(Dados!$C$34=1,SUMIFS(Dados!$F$47:$F$4000,Dados!$C$47:$C$4000,"Cliente",Dados!$D$47:$D$4000,$B9,Dados!$A$47:$A$4000,Dados!$A$34),""))</f>
        <v/>
      </c>
      <c r="H9" s="20">
        <f>IF($B9="","",IF(Dados!$C$35=1,SUMIFS(Dados!$F$47:$F$4000,Dados!$C$47:$C$4000,"Cliente",Dados!$D$47:$D$4000,$B9,Dados!$A$47:$A$4000,Dados!$A$35),""))</f>
        <v/>
      </c>
      <c r="I9" s="20">
        <f>IF($B9="","",IF(Dados!$C$36=1,SUMIFS(Dados!$F$47:$F$4000,Dados!$C$47:$C$4000,"Cliente",Dados!$D$47:$D$4000,$B9,Dados!$A$47:$A$4000,Dados!$A$36),""))</f>
        <v/>
      </c>
      <c r="J9" s="20">
        <f>IF($B9="","",IF(Dados!$C$37=1,SUMIFS(Dados!$F$47:$F$4000,Dados!$C$47:$C$4000,"Cliente",Dados!$D$47:$D$4000,$B9,Dados!$A$47:$A$4000,Dados!$A$37),""))</f>
        <v/>
      </c>
      <c r="K9" s="20">
        <f>IF($B9="","",IF(Dados!$C$38=1,SUMIFS(Dados!$F$47:$F$4000,Dados!$C$47:$C$4000,"Cliente",Dados!$D$47:$D$4000,$B9,Dados!$A$47:$A$4000,Dados!$A$38),""))</f>
        <v/>
      </c>
      <c r="L9" s="20">
        <f>IF($B9="","",IF(Dados!$C$39=1,SUMIFS(Dados!$F$47:$F$4000,Dados!$C$47:$C$4000,"Cliente",Dados!$D$47:$D$4000,$B9,Dados!$A$47:$A$4000,Dados!$A$39),""))</f>
        <v/>
      </c>
      <c r="M9" s="20">
        <f>IF($B9="","",IF(Dados!$C$40=1,SUMIFS(Dados!$F$47:$F$4000,Dados!$C$47:$C$4000,"Cliente",Dados!$D$47:$D$4000,$B9,Dados!$A$47:$A$4000,Dados!$A$40),""))</f>
        <v/>
      </c>
      <c r="N9" s="20">
        <f>IF($B9="","",IF(Dados!$C$41=1,SUMIFS(Dados!$F$47:$F$4000,Dados!$C$47:$C$4000,"Cliente",Dados!$D$47:$D$4000,$B9,Dados!$A$47:$A$4000,Dados!$A$41),""))</f>
        <v/>
      </c>
      <c r="O9" s="20">
        <f>IF($B9="","",SUM(C9:N9))</f>
        <v/>
      </c>
      <c r="P9" s="30">
        <f>IF($B9="","",IFERROR(O9/$O$46,""))</f>
        <v/>
      </c>
      <c r="Q9" s="19">
        <f>IF(N(O9)=0,"",IF(SUM($P$5:P9)-P9&lt;0.8,"A",IF(SUM($P$5:P9)-P9&lt;0.95,"B","C")))</f>
        <v/>
      </c>
      <c r="R9" s="37">
        <f>IF(Dados!$AL$9="","",Dados!$AL$9)</f>
        <v/>
      </c>
      <c r="S9" s="29">
        <f>IF($B9="","",SUMIFS(Dados!$F$47:$F$4000,Dados!$C$47:$C$4000,"Cliente",Dados!$D$47:$D$4000,$B9,Dados!$A$47:$A$4000,"&gt;="&amp;Dados!$A$18,Dados!$A$47:$A$4000,"&lt;="&amp;Dados!$A$29))</f>
        <v/>
      </c>
    </row>
    <row r="10">
      <c r="B10" s="18">
        <f>IF(Dados!$AK$10="","",Dados!$AK$10)</f>
        <v/>
      </c>
      <c r="C10" s="20">
        <f>IF($B10="","",IF(Dados!$C$30=1,SUMIFS(Dados!$F$47:$F$4000,Dados!$C$47:$C$4000,"Cliente",Dados!$D$47:$D$4000,$B10,Dados!$A$47:$A$4000,Dados!$A$30),""))</f>
        <v/>
      </c>
      <c r="D10" s="20">
        <f>IF($B10="","",IF(Dados!$C$31=1,SUMIFS(Dados!$F$47:$F$4000,Dados!$C$47:$C$4000,"Cliente",Dados!$D$47:$D$4000,$B10,Dados!$A$47:$A$4000,Dados!$A$31),""))</f>
        <v/>
      </c>
      <c r="E10" s="20">
        <f>IF($B10="","",IF(Dados!$C$32=1,SUMIFS(Dados!$F$47:$F$4000,Dados!$C$47:$C$4000,"Cliente",Dados!$D$47:$D$4000,$B10,Dados!$A$47:$A$4000,Dados!$A$32),""))</f>
        <v/>
      </c>
      <c r="F10" s="20">
        <f>IF($B10="","",IF(Dados!$C$33=1,SUMIFS(Dados!$F$47:$F$4000,Dados!$C$47:$C$4000,"Cliente",Dados!$D$47:$D$4000,$B10,Dados!$A$47:$A$4000,Dados!$A$33),""))</f>
        <v/>
      </c>
      <c r="G10" s="20">
        <f>IF($B10="","",IF(Dados!$C$34=1,SUMIFS(Dados!$F$47:$F$4000,Dados!$C$47:$C$4000,"Cliente",Dados!$D$47:$D$4000,$B10,Dados!$A$47:$A$4000,Dados!$A$34),""))</f>
        <v/>
      </c>
      <c r="H10" s="20">
        <f>IF($B10="","",IF(Dados!$C$35=1,SUMIFS(Dados!$F$47:$F$4000,Dados!$C$47:$C$4000,"Cliente",Dados!$D$47:$D$4000,$B10,Dados!$A$47:$A$4000,Dados!$A$35),""))</f>
        <v/>
      </c>
      <c r="I10" s="20">
        <f>IF($B10="","",IF(Dados!$C$36=1,SUMIFS(Dados!$F$47:$F$4000,Dados!$C$47:$C$4000,"Cliente",Dados!$D$47:$D$4000,$B10,Dados!$A$47:$A$4000,Dados!$A$36),""))</f>
        <v/>
      </c>
      <c r="J10" s="20">
        <f>IF($B10="","",IF(Dados!$C$37=1,SUMIFS(Dados!$F$47:$F$4000,Dados!$C$47:$C$4000,"Cliente",Dados!$D$47:$D$4000,$B10,Dados!$A$47:$A$4000,Dados!$A$37),""))</f>
        <v/>
      </c>
      <c r="K10" s="20">
        <f>IF($B10="","",IF(Dados!$C$38=1,SUMIFS(Dados!$F$47:$F$4000,Dados!$C$47:$C$4000,"Cliente",Dados!$D$47:$D$4000,$B10,Dados!$A$47:$A$4000,Dados!$A$38),""))</f>
        <v/>
      </c>
      <c r="L10" s="20">
        <f>IF($B10="","",IF(Dados!$C$39=1,SUMIFS(Dados!$F$47:$F$4000,Dados!$C$47:$C$4000,"Cliente",Dados!$D$47:$D$4000,$B10,Dados!$A$47:$A$4000,Dados!$A$39),""))</f>
        <v/>
      </c>
      <c r="M10" s="20">
        <f>IF($B10="","",IF(Dados!$C$40=1,SUMIFS(Dados!$F$47:$F$4000,Dados!$C$47:$C$4000,"Cliente",Dados!$D$47:$D$4000,$B10,Dados!$A$47:$A$4000,Dados!$A$40),""))</f>
        <v/>
      </c>
      <c r="N10" s="20">
        <f>IF($B10="","",IF(Dados!$C$41=1,SUMIFS(Dados!$F$47:$F$4000,Dados!$C$47:$C$4000,"Cliente",Dados!$D$47:$D$4000,$B10,Dados!$A$47:$A$4000,Dados!$A$41),""))</f>
        <v/>
      </c>
      <c r="O10" s="20">
        <f>IF($B10="","",SUM(C10:N10))</f>
        <v/>
      </c>
      <c r="P10" s="30">
        <f>IF($B10="","",IFERROR(O10/$O$46,""))</f>
        <v/>
      </c>
      <c r="Q10" s="19">
        <f>IF(N(O10)=0,"",IF(SUM($P$5:P10)-P10&lt;0.8,"A",IF(SUM($P$5:P10)-P10&lt;0.95,"B","C")))</f>
        <v/>
      </c>
      <c r="R10" s="37">
        <f>IF(Dados!$AL$10="","",Dados!$AL$10)</f>
        <v/>
      </c>
      <c r="S10" s="29">
        <f>IF($B10="","",SUMIFS(Dados!$F$47:$F$4000,Dados!$C$47:$C$4000,"Cliente",Dados!$D$47:$D$4000,$B10,Dados!$A$47:$A$4000,"&gt;="&amp;Dados!$A$18,Dados!$A$47:$A$4000,"&lt;="&amp;Dados!$A$29))</f>
        <v/>
      </c>
    </row>
    <row r="11">
      <c r="B11" s="18">
        <f>IF(Dados!$AK$11="","",Dados!$AK$11)</f>
        <v/>
      </c>
      <c r="C11" s="20">
        <f>IF($B11="","",IF(Dados!$C$30=1,SUMIFS(Dados!$F$47:$F$4000,Dados!$C$47:$C$4000,"Cliente",Dados!$D$47:$D$4000,$B11,Dados!$A$47:$A$4000,Dados!$A$30),""))</f>
        <v/>
      </c>
      <c r="D11" s="20">
        <f>IF($B11="","",IF(Dados!$C$31=1,SUMIFS(Dados!$F$47:$F$4000,Dados!$C$47:$C$4000,"Cliente",Dados!$D$47:$D$4000,$B11,Dados!$A$47:$A$4000,Dados!$A$31),""))</f>
        <v/>
      </c>
      <c r="E11" s="20">
        <f>IF($B11="","",IF(Dados!$C$32=1,SUMIFS(Dados!$F$47:$F$4000,Dados!$C$47:$C$4000,"Cliente",Dados!$D$47:$D$4000,$B11,Dados!$A$47:$A$4000,Dados!$A$32),""))</f>
        <v/>
      </c>
      <c r="F11" s="20">
        <f>IF($B11="","",IF(Dados!$C$33=1,SUMIFS(Dados!$F$47:$F$4000,Dados!$C$47:$C$4000,"Cliente",Dados!$D$47:$D$4000,$B11,Dados!$A$47:$A$4000,Dados!$A$33),""))</f>
        <v/>
      </c>
      <c r="G11" s="20">
        <f>IF($B11="","",IF(Dados!$C$34=1,SUMIFS(Dados!$F$47:$F$4000,Dados!$C$47:$C$4000,"Cliente",Dados!$D$47:$D$4000,$B11,Dados!$A$47:$A$4000,Dados!$A$34),""))</f>
        <v/>
      </c>
      <c r="H11" s="20">
        <f>IF($B11="","",IF(Dados!$C$35=1,SUMIFS(Dados!$F$47:$F$4000,Dados!$C$47:$C$4000,"Cliente",Dados!$D$47:$D$4000,$B11,Dados!$A$47:$A$4000,Dados!$A$35),""))</f>
        <v/>
      </c>
      <c r="I11" s="20">
        <f>IF($B11="","",IF(Dados!$C$36=1,SUMIFS(Dados!$F$47:$F$4000,Dados!$C$47:$C$4000,"Cliente",Dados!$D$47:$D$4000,$B11,Dados!$A$47:$A$4000,Dados!$A$36),""))</f>
        <v/>
      </c>
      <c r="J11" s="20">
        <f>IF($B11="","",IF(Dados!$C$37=1,SUMIFS(Dados!$F$47:$F$4000,Dados!$C$47:$C$4000,"Cliente",Dados!$D$47:$D$4000,$B11,Dados!$A$47:$A$4000,Dados!$A$37),""))</f>
        <v/>
      </c>
      <c r="K11" s="20">
        <f>IF($B11="","",IF(Dados!$C$38=1,SUMIFS(Dados!$F$47:$F$4000,Dados!$C$47:$C$4000,"Cliente",Dados!$D$47:$D$4000,$B11,Dados!$A$47:$A$4000,Dados!$A$38),""))</f>
        <v/>
      </c>
      <c r="L11" s="20">
        <f>IF($B11="","",IF(Dados!$C$39=1,SUMIFS(Dados!$F$47:$F$4000,Dados!$C$47:$C$4000,"Cliente",Dados!$D$47:$D$4000,$B11,Dados!$A$47:$A$4000,Dados!$A$39),""))</f>
        <v/>
      </c>
      <c r="M11" s="20">
        <f>IF($B11="","",IF(Dados!$C$40=1,SUMIFS(Dados!$F$47:$F$4000,Dados!$C$47:$C$4000,"Cliente",Dados!$D$47:$D$4000,$B11,Dados!$A$47:$A$4000,Dados!$A$40),""))</f>
        <v/>
      </c>
      <c r="N11" s="20">
        <f>IF($B11="","",IF(Dados!$C$41=1,SUMIFS(Dados!$F$47:$F$4000,Dados!$C$47:$C$4000,"Cliente",Dados!$D$47:$D$4000,$B11,Dados!$A$47:$A$4000,Dados!$A$41),""))</f>
        <v/>
      </c>
      <c r="O11" s="20">
        <f>IF($B11="","",SUM(C11:N11))</f>
        <v/>
      </c>
      <c r="P11" s="30">
        <f>IF($B11="","",IFERROR(O11/$O$46,""))</f>
        <v/>
      </c>
      <c r="Q11" s="19">
        <f>IF(N(O11)=0,"",IF(SUM($P$5:P11)-P11&lt;0.8,"A",IF(SUM($P$5:P11)-P11&lt;0.95,"B","C")))</f>
        <v/>
      </c>
      <c r="R11" s="37">
        <f>IF(Dados!$AL$11="","",Dados!$AL$11)</f>
        <v/>
      </c>
      <c r="S11" s="29">
        <f>IF($B11="","",SUMIFS(Dados!$F$47:$F$4000,Dados!$C$47:$C$4000,"Cliente",Dados!$D$47:$D$4000,$B11,Dados!$A$47:$A$4000,"&gt;="&amp;Dados!$A$18,Dados!$A$47:$A$4000,"&lt;="&amp;Dados!$A$29))</f>
        <v/>
      </c>
    </row>
    <row r="12">
      <c r="B12" s="18">
        <f>IF(Dados!$AK$12="","",Dados!$AK$12)</f>
        <v/>
      </c>
      <c r="C12" s="20">
        <f>IF($B12="","",IF(Dados!$C$30=1,SUMIFS(Dados!$F$47:$F$4000,Dados!$C$47:$C$4000,"Cliente",Dados!$D$47:$D$4000,$B12,Dados!$A$47:$A$4000,Dados!$A$30),""))</f>
        <v/>
      </c>
      <c r="D12" s="20">
        <f>IF($B12="","",IF(Dados!$C$31=1,SUMIFS(Dados!$F$47:$F$4000,Dados!$C$47:$C$4000,"Cliente",Dados!$D$47:$D$4000,$B12,Dados!$A$47:$A$4000,Dados!$A$31),""))</f>
        <v/>
      </c>
      <c r="E12" s="20">
        <f>IF($B12="","",IF(Dados!$C$32=1,SUMIFS(Dados!$F$47:$F$4000,Dados!$C$47:$C$4000,"Cliente",Dados!$D$47:$D$4000,$B12,Dados!$A$47:$A$4000,Dados!$A$32),""))</f>
        <v/>
      </c>
      <c r="F12" s="20">
        <f>IF($B12="","",IF(Dados!$C$33=1,SUMIFS(Dados!$F$47:$F$4000,Dados!$C$47:$C$4000,"Cliente",Dados!$D$47:$D$4000,$B12,Dados!$A$47:$A$4000,Dados!$A$33),""))</f>
        <v/>
      </c>
      <c r="G12" s="20">
        <f>IF($B12="","",IF(Dados!$C$34=1,SUMIFS(Dados!$F$47:$F$4000,Dados!$C$47:$C$4000,"Cliente",Dados!$D$47:$D$4000,$B12,Dados!$A$47:$A$4000,Dados!$A$34),""))</f>
        <v/>
      </c>
      <c r="H12" s="20">
        <f>IF($B12="","",IF(Dados!$C$35=1,SUMIFS(Dados!$F$47:$F$4000,Dados!$C$47:$C$4000,"Cliente",Dados!$D$47:$D$4000,$B12,Dados!$A$47:$A$4000,Dados!$A$35),""))</f>
        <v/>
      </c>
      <c r="I12" s="20">
        <f>IF($B12="","",IF(Dados!$C$36=1,SUMIFS(Dados!$F$47:$F$4000,Dados!$C$47:$C$4000,"Cliente",Dados!$D$47:$D$4000,$B12,Dados!$A$47:$A$4000,Dados!$A$36),""))</f>
        <v/>
      </c>
      <c r="J12" s="20">
        <f>IF($B12="","",IF(Dados!$C$37=1,SUMIFS(Dados!$F$47:$F$4000,Dados!$C$47:$C$4000,"Cliente",Dados!$D$47:$D$4000,$B12,Dados!$A$47:$A$4000,Dados!$A$37),""))</f>
        <v/>
      </c>
      <c r="K12" s="20">
        <f>IF($B12="","",IF(Dados!$C$38=1,SUMIFS(Dados!$F$47:$F$4000,Dados!$C$47:$C$4000,"Cliente",Dados!$D$47:$D$4000,$B12,Dados!$A$47:$A$4000,Dados!$A$38),""))</f>
        <v/>
      </c>
      <c r="L12" s="20">
        <f>IF($B12="","",IF(Dados!$C$39=1,SUMIFS(Dados!$F$47:$F$4000,Dados!$C$47:$C$4000,"Cliente",Dados!$D$47:$D$4000,$B12,Dados!$A$47:$A$4000,Dados!$A$39),""))</f>
        <v/>
      </c>
      <c r="M12" s="20">
        <f>IF($B12="","",IF(Dados!$C$40=1,SUMIFS(Dados!$F$47:$F$4000,Dados!$C$47:$C$4000,"Cliente",Dados!$D$47:$D$4000,$B12,Dados!$A$47:$A$4000,Dados!$A$40),""))</f>
        <v/>
      </c>
      <c r="N12" s="20">
        <f>IF($B12="","",IF(Dados!$C$41=1,SUMIFS(Dados!$F$47:$F$4000,Dados!$C$47:$C$4000,"Cliente",Dados!$D$47:$D$4000,$B12,Dados!$A$47:$A$4000,Dados!$A$41),""))</f>
        <v/>
      </c>
      <c r="O12" s="20">
        <f>IF($B12="","",SUM(C12:N12))</f>
        <v/>
      </c>
      <c r="P12" s="30">
        <f>IF($B12="","",IFERROR(O12/$O$46,""))</f>
        <v/>
      </c>
      <c r="Q12" s="19">
        <f>IF(N(O12)=0,"",IF(SUM($P$5:P12)-P12&lt;0.8,"A",IF(SUM($P$5:P12)-P12&lt;0.95,"B","C")))</f>
        <v/>
      </c>
      <c r="R12" s="37">
        <f>IF(Dados!$AL$12="","",Dados!$AL$12)</f>
        <v/>
      </c>
      <c r="S12" s="29">
        <f>IF($B12="","",SUMIFS(Dados!$F$47:$F$4000,Dados!$C$47:$C$4000,"Cliente",Dados!$D$47:$D$4000,$B12,Dados!$A$47:$A$4000,"&gt;="&amp;Dados!$A$18,Dados!$A$47:$A$4000,"&lt;="&amp;Dados!$A$29))</f>
        <v/>
      </c>
    </row>
    <row r="13">
      <c r="B13" s="18">
        <f>IF(Dados!$AK$13="","",Dados!$AK$13)</f>
        <v/>
      </c>
      <c r="C13" s="20">
        <f>IF($B13="","",IF(Dados!$C$30=1,SUMIFS(Dados!$F$47:$F$4000,Dados!$C$47:$C$4000,"Cliente",Dados!$D$47:$D$4000,$B13,Dados!$A$47:$A$4000,Dados!$A$30),""))</f>
        <v/>
      </c>
      <c r="D13" s="20">
        <f>IF($B13="","",IF(Dados!$C$31=1,SUMIFS(Dados!$F$47:$F$4000,Dados!$C$47:$C$4000,"Cliente",Dados!$D$47:$D$4000,$B13,Dados!$A$47:$A$4000,Dados!$A$31),""))</f>
        <v/>
      </c>
      <c r="E13" s="20">
        <f>IF($B13="","",IF(Dados!$C$32=1,SUMIFS(Dados!$F$47:$F$4000,Dados!$C$47:$C$4000,"Cliente",Dados!$D$47:$D$4000,$B13,Dados!$A$47:$A$4000,Dados!$A$32),""))</f>
        <v/>
      </c>
      <c r="F13" s="20">
        <f>IF($B13="","",IF(Dados!$C$33=1,SUMIFS(Dados!$F$47:$F$4000,Dados!$C$47:$C$4000,"Cliente",Dados!$D$47:$D$4000,$B13,Dados!$A$47:$A$4000,Dados!$A$33),""))</f>
        <v/>
      </c>
      <c r="G13" s="20">
        <f>IF($B13="","",IF(Dados!$C$34=1,SUMIFS(Dados!$F$47:$F$4000,Dados!$C$47:$C$4000,"Cliente",Dados!$D$47:$D$4000,$B13,Dados!$A$47:$A$4000,Dados!$A$34),""))</f>
        <v/>
      </c>
      <c r="H13" s="20">
        <f>IF($B13="","",IF(Dados!$C$35=1,SUMIFS(Dados!$F$47:$F$4000,Dados!$C$47:$C$4000,"Cliente",Dados!$D$47:$D$4000,$B13,Dados!$A$47:$A$4000,Dados!$A$35),""))</f>
        <v/>
      </c>
      <c r="I13" s="20">
        <f>IF($B13="","",IF(Dados!$C$36=1,SUMIFS(Dados!$F$47:$F$4000,Dados!$C$47:$C$4000,"Cliente",Dados!$D$47:$D$4000,$B13,Dados!$A$47:$A$4000,Dados!$A$36),""))</f>
        <v/>
      </c>
      <c r="J13" s="20">
        <f>IF($B13="","",IF(Dados!$C$37=1,SUMIFS(Dados!$F$47:$F$4000,Dados!$C$47:$C$4000,"Cliente",Dados!$D$47:$D$4000,$B13,Dados!$A$47:$A$4000,Dados!$A$37),""))</f>
        <v/>
      </c>
      <c r="K13" s="20">
        <f>IF($B13="","",IF(Dados!$C$38=1,SUMIFS(Dados!$F$47:$F$4000,Dados!$C$47:$C$4000,"Cliente",Dados!$D$47:$D$4000,$B13,Dados!$A$47:$A$4000,Dados!$A$38),""))</f>
        <v/>
      </c>
      <c r="L13" s="20">
        <f>IF($B13="","",IF(Dados!$C$39=1,SUMIFS(Dados!$F$47:$F$4000,Dados!$C$47:$C$4000,"Cliente",Dados!$D$47:$D$4000,$B13,Dados!$A$47:$A$4000,Dados!$A$39),""))</f>
        <v/>
      </c>
      <c r="M13" s="20">
        <f>IF($B13="","",IF(Dados!$C$40=1,SUMIFS(Dados!$F$47:$F$4000,Dados!$C$47:$C$4000,"Cliente",Dados!$D$47:$D$4000,$B13,Dados!$A$47:$A$4000,Dados!$A$40),""))</f>
        <v/>
      </c>
      <c r="N13" s="20">
        <f>IF($B13="","",IF(Dados!$C$41=1,SUMIFS(Dados!$F$47:$F$4000,Dados!$C$47:$C$4000,"Cliente",Dados!$D$47:$D$4000,$B13,Dados!$A$47:$A$4000,Dados!$A$41),""))</f>
        <v/>
      </c>
      <c r="O13" s="20">
        <f>IF($B13="","",SUM(C13:N13))</f>
        <v/>
      </c>
      <c r="P13" s="30">
        <f>IF($B13="","",IFERROR(O13/$O$46,""))</f>
        <v/>
      </c>
      <c r="Q13" s="19">
        <f>IF(N(O13)=0,"",IF(SUM($P$5:P13)-P13&lt;0.8,"A",IF(SUM($P$5:P13)-P13&lt;0.95,"B","C")))</f>
        <v/>
      </c>
      <c r="R13" s="37">
        <f>IF(Dados!$AL$13="","",Dados!$AL$13)</f>
        <v/>
      </c>
      <c r="S13" s="29">
        <f>IF($B13="","",SUMIFS(Dados!$F$47:$F$4000,Dados!$C$47:$C$4000,"Cliente",Dados!$D$47:$D$4000,$B13,Dados!$A$47:$A$4000,"&gt;="&amp;Dados!$A$18,Dados!$A$47:$A$4000,"&lt;="&amp;Dados!$A$29))</f>
        <v/>
      </c>
    </row>
    <row r="14">
      <c r="B14" s="18">
        <f>IF(Dados!$AK$14="","",Dados!$AK$14)</f>
        <v/>
      </c>
      <c r="C14" s="20">
        <f>IF($B14="","",IF(Dados!$C$30=1,SUMIFS(Dados!$F$47:$F$4000,Dados!$C$47:$C$4000,"Cliente",Dados!$D$47:$D$4000,$B14,Dados!$A$47:$A$4000,Dados!$A$30),""))</f>
        <v/>
      </c>
      <c r="D14" s="20">
        <f>IF($B14="","",IF(Dados!$C$31=1,SUMIFS(Dados!$F$47:$F$4000,Dados!$C$47:$C$4000,"Cliente",Dados!$D$47:$D$4000,$B14,Dados!$A$47:$A$4000,Dados!$A$31),""))</f>
        <v/>
      </c>
      <c r="E14" s="20">
        <f>IF($B14="","",IF(Dados!$C$32=1,SUMIFS(Dados!$F$47:$F$4000,Dados!$C$47:$C$4000,"Cliente",Dados!$D$47:$D$4000,$B14,Dados!$A$47:$A$4000,Dados!$A$32),""))</f>
        <v/>
      </c>
      <c r="F14" s="20">
        <f>IF($B14="","",IF(Dados!$C$33=1,SUMIFS(Dados!$F$47:$F$4000,Dados!$C$47:$C$4000,"Cliente",Dados!$D$47:$D$4000,$B14,Dados!$A$47:$A$4000,Dados!$A$33),""))</f>
        <v/>
      </c>
      <c r="G14" s="20">
        <f>IF($B14="","",IF(Dados!$C$34=1,SUMIFS(Dados!$F$47:$F$4000,Dados!$C$47:$C$4000,"Cliente",Dados!$D$47:$D$4000,$B14,Dados!$A$47:$A$4000,Dados!$A$34),""))</f>
        <v/>
      </c>
      <c r="H14" s="20">
        <f>IF($B14="","",IF(Dados!$C$35=1,SUMIFS(Dados!$F$47:$F$4000,Dados!$C$47:$C$4000,"Cliente",Dados!$D$47:$D$4000,$B14,Dados!$A$47:$A$4000,Dados!$A$35),""))</f>
        <v/>
      </c>
      <c r="I14" s="20">
        <f>IF($B14="","",IF(Dados!$C$36=1,SUMIFS(Dados!$F$47:$F$4000,Dados!$C$47:$C$4000,"Cliente",Dados!$D$47:$D$4000,$B14,Dados!$A$47:$A$4000,Dados!$A$36),""))</f>
        <v/>
      </c>
      <c r="J14" s="20">
        <f>IF($B14="","",IF(Dados!$C$37=1,SUMIFS(Dados!$F$47:$F$4000,Dados!$C$47:$C$4000,"Cliente",Dados!$D$47:$D$4000,$B14,Dados!$A$47:$A$4000,Dados!$A$37),""))</f>
        <v/>
      </c>
      <c r="K14" s="20">
        <f>IF($B14="","",IF(Dados!$C$38=1,SUMIFS(Dados!$F$47:$F$4000,Dados!$C$47:$C$4000,"Cliente",Dados!$D$47:$D$4000,$B14,Dados!$A$47:$A$4000,Dados!$A$38),""))</f>
        <v/>
      </c>
      <c r="L14" s="20">
        <f>IF($B14="","",IF(Dados!$C$39=1,SUMIFS(Dados!$F$47:$F$4000,Dados!$C$47:$C$4000,"Cliente",Dados!$D$47:$D$4000,$B14,Dados!$A$47:$A$4000,Dados!$A$39),""))</f>
        <v/>
      </c>
      <c r="M14" s="20">
        <f>IF($B14="","",IF(Dados!$C$40=1,SUMIFS(Dados!$F$47:$F$4000,Dados!$C$47:$C$4000,"Cliente",Dados!$D$47:$D$4000,$B14,Dados!$A$47:$A$4000,Dados!$A$40),""))</f>
        <v/>
      </c>
      <c r="N14" s="20">
        <f>IF($B14="","",IF(Dados!$C$41=1,SUMIFS(Dados!$F$47:$F$4000,Dados!$C$47:$C$4000,"Cliente",Dados!$D$47:$D$4000,$B14,Dados!$A$47:$A$4000,Dados!$A$41),""))</f>
        <v/>
      </c>
      <c r="O14" s="20">
        <f>IF($B14="","",SUM(C14:N14))</f>
        <v/>
      </c>
      <c r="P14" s="30">
        <f>IF($B14="","",IFERROR(O14/$O$46,""))</f>
        <v/>
      </c>
      <c r="Q14" s="19">
        <f>IF(N(O14)=0,"",IF(SUM($P$5:P14)-P14&lt;0.8,"A",IF(SUM($P$5:P14)-P14&lt;0.95,"B","C")))</f>
        <v/>
      </c>
      <c r="R14" s="37">
        <f>IF(Dados!$AL$14="","",Dados!$AL$14)</f>
        <v/>
      </c>
      <c r="S14" s="29">
        <f>IF($B14="","",SUMIFS(Dados!$F$47:$F$4000,Dados!$C$47:$C$4000,"Cliente",Dados!$D$47:$D$4000,$B14,Dados!$A$47:$A$4000,"&gt;="&amp;Dados!$A$18,Dados!$A$47:$A$4000,"&lt;="&amp;Dados!$A$29))</f>
        <v/>
      </c>
    </row>
    <row r="15">
      <c r="B15" s="18">
        <f>IF(Dados!$AK$15="","",Dados!$AK$15)</f>
        <v/>
      </c>
      <c r="C15" s="20">
        <f>IF($B15="","",IF(Dados!$C$30=1,SUMIFS(Dados!$F$47:$F$4000,Dados!$C$47:$C$4000,"Cliente",Dados!$D$47:$D$4000,$B15,Dados!$A$47:$A$4000,Dados!$A$30),""))</f>
        <v/>
      </c>
      <c r="D15" s="20">
        <f>IF($B15="","",IF(Dados!$C$31=1,SUMIFS(Dados!$F$47:$F$4000,Dados!$C$47:$C$4000,"Cliente",Dados!$D$47:$D$4000,$B15,Dados!$A$47:$A$4000,Dados!$A$31),""))</f>
        <v/>
      </c>
      <c r="E15" s="20">
        <f>IF($B15="","",IF(Dados!$C$32=1,SUMIFS(Dados!$F$47:$F$4000,Dados!$C$47:$C$4000,"Cliente",Dados!$D$47:$D$4000,$B15,Dados!$A$47:$A$4000,Dados!$A$32),""))</f>
        <v/>
      </c>
      <c r="F15" s="20">
        <f>IF($B15="","",IF(Dados!$C$33=1,SUMIFS(Dados!$F$47:$F$4000,Dados!$C$47:$C$4000,"Cliente",Dados!$D$47:$D$4000,$B15,Dados!$A$47:$A$4000,Dados!$A$33),""))</f>
        <v/>
      </c>
      <c r="G15" s="20">
        <f>IF($B15="","",IF(Dados!$C$34=1,SUMIFS(Dados!$F$47:$F$4000,Dados!$C$47:$C$4000,"Cliente",Dados!$D$47:$D$4000,$B15,Dados!$A$47:$A$4000,Dados!$A$34),""))</f>
        <v/>
      </c>
      <c r="H15" s="20">
        <f>IF($B15="","",IF(Dados!$C$35=1,SUMIFS(Dados!$F$47:$F$4000,Dados!$C$47:$C$4000,"Cliente",Dados!$D$47:$D$4000,$B15,Dados!$A$47:$A$4000,Dados!$A$35),""))</f>
        <v/>
      </c>
      <c r="I15" s="20">
        <f>IF($B15="","",IF(Dados!$C$36=1,SUMIFS(Dados!$F$47:$F$4000,Dados!$C$47:$C$4000,"Cliente",Dados!$D$47:$D$4000,$B15,Dados!$A$47:$A$4000,Dados!$A$36),""))</f>
        <v/>
      </c>
      <c r="J15" s="20">
        <f>IF($B15="","",IF(Dados!$C$37=1,SUMIFS(Dados!$F$47:$F$4000,Dados!$C$47:$C$4000,"Cliente",Dados!$D$47:$D$4000,$B15,Dados!$A$47:$A$4000,Dados!$A$37),""))</f>
        <v/>
      </c>
      <c r="K15" s="20">
        <f>IF($B15="","",IF(Dados!$C$38=1,SUMIFS(Dados!$F$47:$F$4000,Dados!$C$47:$C$4000,"Cliente",Dados!$D$47:$D$4000,$B15,Dados!$A$47:$A$4000,Dados!$A$38),""))</f>
        <v/>
      </c>
      <c r="L15" s="20">
        <f>IF($B15="","",IF(Dados!$C$39=1,SUMIFS(Dados!$F$47:$F$4000,Dados!$C$47:$C$4000,"Cliente",Dados!$D$47:$D$4000,$B15,Dados!$A$47:$A$4000,Dados!$A$39),""))</f>
        <v/>
      </c>
      <c r="M15" s="20">
        <f>IF($B15="","",IF(Dados!$C$40=1,SUMIFS(Dados!$F$47:$F$4000,Dados!$C$47:$C$4000,"Cliente",Dados!$D$47:$D$4000,$B15,Dados!$A$47:$A$4000,Dados!$A$40),""))</f>
        <v/>
      </c>
      <c r="N15" s="20">
        <f>IF($B15="","",IF(Dados!$C$41=1,SUMIFS(Dados!$F$47:$F$4000,Dados!$C$47:$C$4000,"Cliente",Dados!$D$47:$D$4000,$B15,Dados!$A$47:$A$4000,Dados!$A$41),""))</f>
        <v/>
      </c>
      <c r="O15" s="20">
        <f>IF($B15="","",SUM(C15:N15))</f>
        <v/>
      </c>
      <c r="P15" s="30">
        <f>IF($B15="","",IFERROR(O15/$O$46,""))</f>
        <v/>
      </c>
      <c r="Q15" s="19">
        <f>IF(N(O15)=0,"",IF(SUM($P$5:P15)-P15&lt;0.8,"A",IF(SUM($P$5:P15)-P15&lt;0.95,"B","C")))</f>
        <v/>
      </c>
      <c r="R15" s="37">
        <f>IF(Dados!$AL$15="","",Dados!$AL$15)</f>
        <v/>
      </c>
      <c r="S15" s="29">
        <f>IF($B15="","",SUMIFS(Dados!$F$47:$F$4000,Dados!$C$47:$C$4000,"Cliente",Dados!$D$47:$D$4000,$B15,Dados!$A$47:$A$4000,"&gt;="&amp;Dados!$A$18,Dados!$A$47:$A$4000,"&lt;="&amp;Dados!$A$29))</f>
        <v/>
      </c>
    </row>
    <row r="16">
      <c r="B16" s="18">
        <f>IF(Dados!$AK$16="","",Dados!$AK$16)</f>
        <v/>
      </c>
      <c r="C16" s="20">
        <f>IF($B16="","",IF(Dados!$C$30=1,SUMIFS(Dados!$F$47:$F$4000,Dados!$C$47:$C$4000,"Cliente",Dados!$D$47:$D$4000,$B16,Dados!$A$47:$A$4000,Dados!$A$30),""))</f>
        <v/>
      </c>
      <c r="D16" s="20">
        <f>IF($B16="","",IF(Dados!$C$31=1,SUMIFS(Dados!$F$47:$F$4000,Dados!$C$47:$C$4000,"Cliente",Dados!$D$47:$D$4000,$B16,Dados!$A$47:$A$4000,Dados!$A$31),""))</f>
        <v/>
      </c>
      <c r="E16" s="20">
        <f>IF($B16="","",IF(Dados!$C$32=1,SUMIFS(Dados!$F$47:$F$4000,Dados!$C$47:$C$4000,"Cliente",Dados!$D$47:$D$4000,$B16,Dados!$A$47:$A$4000,Dados!$A$32),""))</f>
        <v/>
      </c>
      <c r="F16" s="20">
        <f>IF($B16="","",IF(Dados!$C$33=1,SUMIFS(Dados!$F$47:$F$4000,Dados!$C$47:$C$4000,"Cliente",Dados!$D$47:$D$4000,$B16,Dados!$A$47:$A$4000,Dados!$A$33),""))</f>
        <v/>
      </c>
      <c r="G16" s="20">
        <f>IF($B16="","",IF(Dados!$C$34=1,SUMIFS(Dados!$F$47:$F$4000,Dados!$C$47:$C$4000,"Cliente",Dados!$D$47:$D$4000,$B16,Dados!$A$47:$A$4000,Dados!$A$34),""))</f>
        <v/>
      </c>
      <c r="H16" s="20">
        <f>IF($B16="","",IF(Dados!$C$35=1,SUMIFS(Dados!$F$47:$F$4000,Dados!$C$47:$C$4000,"Cliente",Dados!$D$47:$D$4000,$B16,Dados!$A$47:$A$4000,Dados!$A$35),""))</f>
        <v/>
      </c>
      <c r="I16" s="20">
        <f>IF($B16="","",IF(Dados!$C$36=1,SUMIFS(Dados!$F$47:$F$4000,Dados!$C$47:$C$4000,"Cliente",Dados!$D$47:$D$4000,$B16,Dados!$A$47:$A$4000,Dados!$A$36),""))</f>
        <v/>
      </c>
      <c r="J16" s="20">
        <f>IF($B16="","",IF(Dados!$C$37=1,SUMIFS(Dados!$F$47:$F$4000,Dados!$C$47:$C$4000,"Cliente",Dados!$D$47:$D$4000,$B16,Dados!$A$47:$A$4000,Dados!$A$37),""))</f>
        <v/>
      </c>
      <c r="K16" s="20">
        <f>IF($B16="","",IF(Dados!$C$38=1,SUMIFS(Dados!$F$47:$F$4000,Dados!$C$47:$C$4000,"Cliente",Dados!$D$47:$D$4000,$B16,Dados!$A$47:$A$4000,Dados!$A$38),""))</f>
        <v/>
      </c>
      <c r="L16" s="20">
        <f>IF($B16="","",IF(Dados!$C$39=1,SUMIFS(Dados!$F$47:$F$4000,Dados!$C$47:$C$4000,"Cliente",Dados!$D$47:$D$4000,$B16,Dados!$A$47:$A$4000,Dados!$A$39),""))</f>
        <v/>
      </c>
      <c r="M16" s="20">
        <f>IF($B16="","",IF(Dados!$C$40=1,SUMIFS(Dados!$F$47:$F$4000,Dados!$C$47:$C$4000,"Cliente",Dados!$D$47:$D$4000,$B16,Dados!$A$47:$A$4000,Dados!$A$40),""))</f>
        <v/>
      </c>
      <c r="N16" s="20">
        <f>IF($B16="","",IF(Dados!$C$41=1,SUMIFS(Dados!$F$47:$F$4000,Dados!$C$47:$C$4000,"Cliente",Dados!$D$47:$D$4000,$B16,Dados!$A$47:$A$4000,Dados!$A$41),""))</f>
        <v/>
      </c>
      <c r="O16" s="20">
        <f>IF($B16="","",SUM(C16:N16))</f>
        <v/>
      </c>
      <c r="P16" s="30">
        <f>IF($B16="","",IFERROR(O16/$O$46,""))</f>
        <v/>
      </c>
      <c r="Q16" s="19">
        <f>IF(N(O16)=0,"",IF(SUM($P$5:P16)-P16&lt;0.8,"A",IF(SUM($P$5:P16)-P16&lt;0.95,"B","C")))</f>
        <v/>
      </c>
      <c r="R16" s="37">
        <f>IF(Dados!$AL$16="","",Dados!$AL$16)</f>
        <v/>
      </c>
      <c r="S16" s="29">
        <f>IF($B16="","",SUMIFS(Dados!$F$47:$F$4000,Dados!$C$47:$C$4000,"Cliente",Dados!$D$47:$D$4000,$B16,Dados!$A$47:$A$4000,"&gt;="&amp;Dados!$A$18,Dados!$A$47:$A$4000,"&lt;="&amp;Dados!$A$29))</f>
        <v/>
      </c>
    </row>
    <row r="17">
      <c r="B17" s="18">
        <f>IF(Dados!$AK$17="","",Dados!$AK$17)</f>
        <v/>
      </c>
      <c r="C17" s="20">
        <f>IF($B17="","",IF(Dados!$C$30=1,SUMIFS(Dados!$F$47:$F$4000,Dados!$C$47:$C$4000,"Cliente",Dados!$D$47:$D$4000,$B17,Dados!$A$47:$A$4000,Dados!$A$30),""))</f>
        <v/>
      </c>
      <c r="D17" s="20">
        <f>IF($B17="","",IF(Dados!$C$31=1,SUMIFS(Dados!$F$47:$F$4000,Dados!$C$47:$C$4000,"Cliente",Dados!$D$47:$D$4000,$B17,Dados!$A$47:$A$4000,Dados!$A$31),""))</f>
        <v/>
      </c>
      <c r="E17" s="20">
        <f>IF($B17="","",IF(Dados!$C$32=1,SUMIFS(Dados!$F$47:$F$4000,Dados!$C$47:$C$4000,"Cliente",Dados!$D$47:$D$4000,$B17,Dados!$A$47:$A$4000,Dados!$A$32),""))</f>
        <v/>
      </c>
      <c r="F17" s="20">
        <f>IF($B17="","",IF(Dados!$C$33=1,SUMIFS(Dados!$F$47:$F$4000,Dados!$C$47:$C$4000,"Cliente",Dados!$D$47:$D$4000,$B17,Dados!$A$47:$A$4000,Dados!$A$33),""))</f>
        <v/>
      </c>
      <c r="G17" s="20">
        <f>IF($B17="","",IF(Dados!$C$34=1,SUMIFS(Dados!$F$47:$F$4000,Dados!$C$47:$C$4000,"Cliente",Dados!$D$47:$D$4000,$B17,Dados!$A$47:$A$4000,Dados!$A$34),""))</f>
        <v/>
      </c>
      <c r="H17" s="20">
        <f>IF($B17="","",IF(Dados!$C$35=1,SUMIFS(Dados!$F$47:$F$4000,Dados!$C$47:$C$4000,"Cliente",Dados!$D$47:$D$4000,$B17,Dados!$A$47:$A$4000,Dados!$A$35),""))</f>
        <v/>
      </c>
      <c r="I17" s="20">
        <f>IF($B17="","",IF(Dados!$C$36=1,SUMIFS(Dados!$F$47:$F$4000,Dados!$C$47:$C$4000,"Cliente",Dados!$D$47:$D$4000,$B17,Dados!$A$47:$A$4000,Dados!$A$36),""))</f>
        <v/>
      </c>
      <c r="J17" s="20">
        <f>IF($B17="","",IF(Dados!$C$37=1,SUMIFS(Dados!$F$47:$F$4000,Dados!$C$47:$C$4000,"Cliente",Dados!$D$47:$D$4000,$B17,Dados!$A$47:$A$4000,Dados!$A$37),""))</f>
        <v/>
      </c>
      <c r="K17" s="20">
        <f>IF($B17="","",IF(Dados!$C$38=1,SUMIFS(Dados!$F$47:$F$4000,Dados!$C$47:$C$4000,"Cliente",Dados!$D$47:$D$4000,$B17,Dados!$A$47:$A$4000,Dados!$A$38),""))</f>
        <v/>
      </c>
      <c r="L17" s="20">
        <f>IF($B17="","",IF(Dados!$C$39=1,SUMIFS(Dados!$F$47:$F$4000,Dados!$C$47:$C$4000,"Cliente",Dados!$D$47:$D$4000,$B17,Dados!$A$47:$A$4000,Dados!$A$39),""))</f>
        <v/>
      </c>
      <c r="M17" s="20">
        <f>IF($B17="","",IF(Dados!$C$40=1,SUMIFS(Dados!$F$47:$F$4000,Dados!$C$47:$C$4000,"Cliente",Dados!$D$47:$D$4000,$B17,Dados!$A$47:$A$4000,Dados!$A$40),""))</f>
        <v/>
      </c>
      <c r="N17" s="20">
        <f>IF($B17="","",IF(Dados!$C$41=1,SUMIFS(Dados!$F$47:$F$4000,Dados!$C$47:$C$4000,"Cliente",Dados!$D$47:$D$4000,$B17,Dados!$A$47:$A$4000,Dados!$A$41),""))</f>
        <v/>
      </c>
      <c r="O17" s="20">
        <f>IF($B17="","",SUM(C17:N17))</f>
        <v/>
      </c>
      <c r="P17" s="30">
        <f>IF($B17="","",IFERROR(O17/$O$46,""))</f>
        <v/>
      </c>
      <c r="Q17" s="19">
        <f>IF(N(O17)=0,"",IF(SUM($P$5:P17)-P17&lt;0.8,"A",IF(SUM($P$5:P17)-P17&lt;0.95,"B","C")))</f>
        <v/>
      </c>
      <c r="R17" s="37">
        <f>IF(Dados!$AL$17="","",Dados!$AL$17)</f>
        <v/>
      </c>
      <c r="S17" s="29">
        <f>IF($B17="","",SUMIFS(Dados!$F$47:$F$4000,Dados!$C$47:$C$4000,"Cliente",Dados!$D$47:$D$4000,$B17,Dados!$A$47:$A$4000,"&gt;="&amp;Dados!$A$18,Dados!$A$47:$A$4000,"&lt;="&amp;Dados!$A$29))</f>
        <v/>
      </c>
    </row>
    <row r="18">
      <c r="B18" s="18">
        <f>IF(Dados!$AK$18="","",Dados!$AK$18)</f>
        <v/>
      </c>
      <c r="C18" s="20">
        <f>IF($B18="","",IF(Dados!$C$30=1,SUMIFS(Dados!$F$47:$F$4000,Dados!$C$47:$C$4000,"Cliente",Dados!$D$47:$D$4000,$B18,Dados!$A$47:$A$4000,Dados!$A$30),""))</f>
        <v/>
      </c>
      <c r="D18" s="20">
        <f>IF($B18="","",IF(Dados!$C$31=1,SUMIFS(Dados!$F$47:$F$4000,Dados!$C$47:$C$4000,"Cliente",Dados!$D$47:$D$4000,$B18,Dados!$A$47:$A$4000,Dados!$A$31),""))</f>
        <v/>
      </c>
      <c r="E18" s="20">
        <f>IF($B18="","",IF(Dados!$C$32=1,SUMIFS(Dados!$F$47:$F$4000,Dados!$C$47:$C$4000,"Cliente",Dados!$D$47:$D$4000,$B18,Dados!$A$47:$A$4000,Dados!$A$32),""))</f>
        <v/>
      </c>
      <c r="F18" s="20">
        <f>IF($B18="","",IF(Dados!$C$33=1,SUMIFS(Dados!$F$47:$F$4000,Dados!$C$47:$C$4000,"Cliente",Dados!$D$47:$D$4000,$B18,Dados!$A$47:$A$4000,Dados!$A$33),""))</f>
        <v/>
      </c>
      <c r="G18" s="20">
        <f>IF($B18="","",IF(Dados!$C$34=1,SUMIFS(Dados!$F$47:$F$4000,Dados!$C$47:$C$4000,"Cliente",Dados!$D$47:$D$4000,$B18,Dados!$A$47:$A$4000,Dados!$A$34),""))</f>
        <v/>
      </c>
      <c r="H18" s="20">
        <f>IF($B18="","",IF(Dados!$C$35=1,SUMIFS(Dados!$F$47:$F$4000,Dados!$C$47:$C$4000,"Cliente",Dados!$D$47:$D$4000,$B18,Dados!$A$47:$A$4000,Dados!$A$35),""))</f>
        <v/>
      </c>
      <c r="I18" s="20">
        <f>IF($B18="","",IF(Dados!$C$36=1,SUMIFS(Dados!$F$47:$F$4000,Dados!$C$47:$C$4000,"Cliente",Dados!$D$47:$D$4000,$B18,Dados!$A$47:$A$4000,Dados!$A$36),""))</f>
        <v/>
      </c>
      <c r="J18" s="20">
        <f>IF($B18="","",IF(Dados!$C$37=1,SUMIFS(Dados!$F$47:$F$4000,Dados!$C$47:$C$4000,"Cliente",Dados!$D$47:$D$4000,$B18,Dados!$A$47:$A$4000,Dados!$A$37),""))</f>
        <v/>
      </c>
      <c r="K18" s="20">
        <f>IF($B18="","",IF(Dados!$C$38=1,SUMIFS(Dados!$F$47:$F$4000,Dados!$C$47:$C$4000,"Cliente",Dados!$D$47:$D$4000,$B18,Dados!$A$47:$A$4000,Dados!$A$38),""))</f>
        <v/>
      </c>
      <c r="L18" s="20">
        <f>IF($B18="","",IF(Dados!$C$39=1,SUMIFS(Dados!$F$47:$F$4000,Dados!$C$47:$C$4000,"Cliente",Dados!$D$47:$D$4000,$B18,Dados!$A$47:$A$4000,Dados!$A$39),""))</f>
        <v/>
      </c>
      <c r="M18" s="20">
        <f>IF($B18="","",IF(Dados!$C$40=1,SUMIFS(Dados!$F$47:$F$4000,Dados!$C$47:$C$4000,"Cliente",Dados!$D$47:$D$4000,$B18,Dados!$A$47:$A$4000,Dados!$A$40),""))</f>
        <v/>
      </c>
      <c r="N18" s="20">
        <f>IF($B18="","",IF(Dados!$C$41=1,SUMIFS(Dados!$F$47:$F$4000,Dados!$C$47:$C$4000,"Cliente",Dados!$D$47:$D$4000,$B18,Dados!$A$47:$A$4000,Dados!$A$41),""))</f>
        <v/>
      </c>
      <c r="O18" s="20">
        <f>IF($B18="","",SUM(C18:N18))</f>
        <v/>
      </c>
      <c r="P18" s="30">
        <f>IF($B18="","",IFERROR(O18/$O$46,""))</f>
        <v/>
      </c>
      <c r="Q18" s="19">
        <f>IF(N(O18)=0,"",IF(SUM($P$5:P18)-P18&lt;0.8,"A",IF(SUM($P$5:P18)-P18&lt;0.95,"B","C")))</f>
        <v/>
      </c>
      <c r="R18" s="37">
        <f>IF(Dados!$AL$18="","",Dados!$AL$18)</f>
        <v/>
      </c>
      <c r="S18" s="29">
        <f>IF($B18="","",SUMIFS(Dados!$F$47:$F$4000,Dados!$C$47:$C$4000,"Cliente",Dados!$D$47:$D$4000,$B18,Dados!$A$47:$A$4000,"&gt;="&amp;Dados!$A$18,Dados!$A$47:$A$4000,"&lt;="&amp;Dados!$A$29))</f>
        <v/>
      </c>
    </row>
    <row r="19">
      <c r="B19" s="18">
        <f>IF(Dados!$AK$19="","",Dados!$AK$19)</f>
        <v/>
      </c>
      <c r="C19" s="20">
        <f>IF($B19="","",IF(Dados!$C$30=1,SUMIFS(Dados!$F$47:$F$4000,Dados!$C$47:$C$4000,"Cliente",Dados!$D$47:$D$4000,$B19,Dados!$A$47:$A$4000,Dados!$A$30),""))</f>
        <v/>
      </c>
      <c r="D19" s="20">
        <f>IF($B19="","",IF(Dados!$C$31=1,SUMIFS(Dados!$F$47:$F$4000,Dados!$C$47:$C$4000,"Cliente",Dados!$D$47:$D$4000,$B19,Dados!$A$47:$A$4000,Dados!$A$31),""))</f>
        <v/>
      </c>
      <c r="E19" s="20">
        <f>IF($B19="","",IF(Dados!$C$32=1,SUMIFS(Dados!$F$47:$F$4000,Dados!$C$47:$C$4000,"Cliente",Dados!$D$47:$D$4000,$B19,Dados!$A$47:$A$4000,Dados!$A$32),""))</f>
        <v/>
      </c>
      <c r="F19" s="20">
        <f>IF($B19="","",IF(Dados!$C$33=1,SUMIFS(Dados!$F$47:$F$4000,Dados!$C$47:$C$4000,"Cliente",Dados!$D$47:$D$4000,$B19,Dados!$A$47:$A$4000,Dados!$A$33),""))</f>
        <v/>
      </c>
      <c r="G19" s="20">
        <f>IF($B19="","",IF(Dados!$C$34=1,SUMIFS(Dados!$F$47:$F$4000,Dados!$C$47:$C$4000,"Cliente",Dados!$D$47:$D$4000,$B19,Dados!$A$47:$A$4000,Dados!$A$34),""))</f>
        <v/>
      </c>
      <c r="H19" s="20">
        <f>IF($B19="","",IF(Dados!$C$35=1,SUMIFS(Dados!$F$47:$F$4000,Dados!$C$47:$C$4000,"Cliente",Dados!$D$47:$D$4000,$B19,Dados!$A$47:$A$4000,Dados!$A$35),""))</f>
        <v/>
      </c>
      <c r="I19" s="20">
        <f>IF($B19="","",IF(Dados!$C$36=1,SUMIFS(Dados!$F$47:$F$4000,Dados!$C$47:$C$4000,"Cliente",Dados!$D$47:$D$4000,$B19,Dados!$A$47:$A$4000,Dados!$A$36),""))</f>
        <v/>
      </c>
      <c r="J19" s="20">
        <f>IF($B19="","",IF(Dados!$C$37=1,SUMIFS(Dados!$F$47:$F$4000,Dados!$C$47:$C$4000,"Cliente",Dados!$D$47:$D$4000,$B19,Dados!$A$47:$A$4000,Dados!$A$37),""))</f>
        <v/>
      </c>
      <c r="K19" s="20">
        <f>IF($B19="","",IF(Dados!$C$38=1,SUMIFS(Dados!$F$47:$F$4000,Dados!$C$47:$C$4000,"Cliente",Dados!$D$47:$D$4000,$B19,Dados!$A$47:$A$4000,Dados!$A$38),""))</f>
        <v/>
      </c>
      <c r="L19" s="20">
        <f>IF($B19="","",IF(Dados!$C$39=1,SUMIFS(Dados!$F$47:$F$4000,Dados!$C$47:$C$4000,"Cliente",Dados!$D$47:$D$4000,$B19,Dados!$A$47:$A$4000,Dados!$A$39),""))</f>
        <v/>
      </c>
      <c r="M19" s="20">
        <f>IF($B19="","",IF(Dados!$C$40=1,SUMIFS(Dados!$F$47:$F$4000,Dados!$C$47:$C$4000,"Cliente",Dados!$D$47:$D$4000,$B19,Dados!$A$47:$A$4000,Dados!$A$40),""))</f>
        <v/>
      </c>
      <c r="N19" s="20">
        <f>IF($B19="","",IF(Dados!$C$41=1,SUMIFS(Dados!$F$47:$F$4000,Dados!$C$47:$C$4000,"Cliente",Dados!$D$47:$D$4000,$B19,Dados!$A$47:$A$4000,Dados!$A$41),""))</f>
        <v/>
      </c>
      <c r="O19" s="20">
        <f>IF($B19="","",SUM(C19:N19))</f>
        <v/>
      </c>
      <c r="P19" s="30">
        <f>IF($B19="","",IFERROR(O19/$O$46,""))</f>
        <v/>
      </c>
      <c r="Q19" s="19">
        <f>IF(N(O19)=0,"",IF(SUM($P$5:P19)-P19&lt;0.8,"A",IF(SUM($P$5:P19)-P19&lt;0.95,"B","C")))</f>
        <v/>
      </c>
      <c r="R19" s="37">
        <f>IF(Dados!$AL$19="","",Dados!$AL$19)</f>
        <v/>
      </c>
      <c r="S19" s="29">
        <f>IF($B19="","",SUMIFS(Dados!$F$47:$F$4000,Dados!$C$47:$C$4000,"Cliente",Dados!$D$47:$D$4000,$B19,Dados!$A$47:$A$4000,"&gt;="&amp;Dados!$A$18,Dados!$A$47:$A$4000,"&lt;="&amp;Dados!$A$29))</f>
        <v/>
      </c>
    </row>
    <row r="20">
      <c r="B20" s="18">
        <f>IF(Dados!$AK$20="","",Dados!$AK$20)</f>
        <v/>
      </c>
      <c r="C20" s="20">
        <f>IF($B20="","",IF(Dados!$C$30=1,SUMIFS(Dados!$F$47:$F$4000,Dados!$C$47:$C$4000,"Cliente",Dados!$D$47:$D$4000,$B20,Dados!$A$47:$A$4000,Dados!$A$30),""))</f>
        <v/>
      </c>
      <c r="D20" s="20">
        <f>IF($B20="","",IF(Dados!$C$31=1,SUMIFS(Dados!$F$47:$F$4000,Dados!$C$47:$C$4000,"Cliente",Dados!$D$47:$D$4000,$B20,Dados!$A$47:$A$4000,Dados!$A$31),""))</f>
        <v/>
      </c>
      <c r="E20" s="20">
        <f>IF($B20="","",IF(Dados!$C$32=1,SUMIFS(Dados!$F$47:$F$4000,Dados!$C$47:$C$4000,"Cliente",Dados!$D$47:$D$4000,$B20,Dados!$A$47:$A$4000,Dados!$A$32),""))</f>
        <v/>
      </c>
      <c r="F20" s="20">
        <f>IF($B20="","",IF(Dados!$C$33=1,SUMIFS(Dados!$F$47:$F$4000,Dados!$C$47:$C$4000,"Cliente",Dados!$D$47:$D$4000,$B20,Dados!$A$47:$A$4000,Dados!$A$33),""))</f>
        <v/>
      </c>
      <c r="G20" s="20">
        <f>IF($B20="","",IF(Dados!$C$34=1,SUMIFS(Dados!$F$47:$F$4000,Dados!$C$47:$C$4000,"Cliente",Dados!$D$47:$D$4000,$B20,Dados!$A$47:$A$4000,Dados!$A$34),""))</f>
        <v/>
      </c>
      <c r="H20" s="20">
        <f>IF($B20="","",IF(Dados!$C$35=1,SUMIFS(Dados!$F$47:$F$4000,Dados!$C$47:$C$4000,"Cliente",Dados!$D$47:$D$4000,$B20,Dados!$A$47:$A$4000,Dados!$A$35),""))</f>
        <v/>
      </c>
      <c r="I20" s="20">
        <f>IF($B20="","",IF(Dados!$C$36=1,SUMIFS(Dados!$F$47:$F$4000,Dados!$C$47:$C$4000,"Cliente",Dados!$D$47:$D$4000,$B20,Dados!$A$47:$A$4000,Dados!$A$36),""))</f>
        <v/>
      </c>
      <c r="J20" s="20">
        <f>IF($B20="","",IF(Dados!$C$37=1,SUMIFS(Dados!$F$47:$F$4000,Dados!$C$47:$C$4000,"Cliente",Dados!$D$47:$D$4000,$B20,Dados!$A$47:$A$4000,Dados!$A$37),""))</f>
        <v/>
      </c>
      <c r="K20" s="20">
        <f>IF($B20="","",IF(Dados!$C$38=1,SUMIFS(Dados!$F$47:$F$4000,Dados!$C$47:$C$4000,"Cliente",Dados!$D$47:$D$4000,$B20,Dados!$A$47:$A$4000,Dados!$A$38),""))</f>
        <v/>
      </c>
      <c r="L20" s="20">
        <f>IF($B20="","",IF(Dados!$C$39=1,SUMIFS(Dados!$F$47:$F$4000,Dados!$C$47:$C$4000,"Cliente",Dados!$D$47:$D$4000,$B20,Dados!$A$47:$A$4000,Dados!$A$39),""))</f>
        <v/>
      </c>
      <c r="M20" s="20">
        <f>IF($B20="","",IF(Dados!$C$40=1,SUMIFS(Dados!$F$47:$F$4000,Dados!$C$47:$C$4000,"Cliente",Dados!$D$47:$D$4000,$B20,Dados!$A$47:$A$4000,Dados!$A$40),""))</f>
        <v/>
      </c>
      <c r="N20" s="20">
        <f>IF($B20="","",IF(Dados!$C$41=1,SUMIFS(Dados!$F$47:$F$4000,Dados!$C$47:$C$4000,"Cliente",Dados!$D$47:$D$4000,$B20,Dados!$A$47:$A$4000,Dados!$A$41),""))</f>
        <v/>
      </c>
      <c r="O20" s="20">
        <f>IF($B20="","",SUM(C20:N20))</f>
        <v/>
      </c>
      <c r="P20" s="30">
        <f>IF($B20="","",IFERROR(O20/$O$46,""))</f>
        <v/>
      </c>
      <c r="Q20" s="19">
        <f>IF(N(O20)=0,"",IF(SUM($P$5:P20)-P20&lt;0.8,"A",IF(SUM($P$5:P20)-P20&lt;0.95,"B","C")))</f>
        <v/>
      </c>
      <c r="R20" s="37">
        <f>IF(Dados!$AL$20="","",Dados!$AL$20)</f>
        <v/>
      </c>
      <c r="S20" s="29">
        <f>IF($B20="","",SUMIFS(Dados!$F$47:$F$4000,Dados!$C$47:$C$4000,"Cliente",Dados!$D$47:$D$4000,$B20,Dados!$A$47:$A$4000,"&gt;="&amp;Dados!$A$18,Dados!$A$47:$A$4000,"&lt;="&amp;Dados!$A$29))</f>
        <v/>
      </c>
    </row>
    <row r="21">
      <c r="B21" s="18">
        <f>IF(Dados!$AK$21="","",Dados!$AK$21)</f>
        <v/>
      </c>
      <c r="C21" s="20">
        <f>IF($B21="","",IF(Dados!$C$30=1,SUMIFS(Dados!$F$47:$F$4000,Dados!$C$47:$C$4000,"Cliente",Dados!$D$47:$D$4000,$B21,Dados!$A$47:$A$4000,Dados!$A$30),""))</f>
        <v/>
      </c>
      <c r="D21" s="20">
        <f>IF($B21="","",IF(Dados!$C$31=1,SUMIFS(Dados!$F$47:$F$4000,Dados!$C$47:$C$4000,"Cliente",Dados!$D$47:$D$4000,$B21,Dados!$A$47:$A$4000,Dados!$A$31),""))</f>
        <v/>
      </c>
      <c r="E21" s="20">
        <f>IF($B21="","",IF(Dados!$C$32=1,SUMIFS(Dados!$F$47:$F$4000,Dados!$C$47:$C$4000,"Cliente",Dados!$D$47:$D$4000,$B21,Dados!$A$47:$A$4000,Dados!$A$32),""))</f>
        <v/>
      </c>
      <c r="F21" s="20">
        <f>IF($B21="","",IF(Dados!$C$33=1,SUMIFS(Dados!$F$47:$F$4000,Dados!$C$47:$C$4000,"Cliente",Dados!$D$47:$D$4000,$B21,Dados!$A$47:$A$4000,Dados!$A$33),""))</f>
        <v/>
      </c>
      <c r="G21" s="20">
        <f>IF($B21="","",IF(Dados!$C$34=1,SUMIFS(Dados!$F$47:$F$4000,Dados!$C$47:$C$4000,"Cliente",Dados!$D$47:$D$4000,$B21,Dados!$A$47:$A$4000,Dados!$A$34),""))</f>
        <v/>
      </c>
      <c r="H21" s="20">
        <f>IF($B21="","",IF(Dados!$C$35=1,SUMIFS(Dados!$F$47:$F$4000,Dados!$C$47:$C$4000,"Cliente",Dados!$D$47:$D$4000,$B21,Dados!$A$47:$A$4000,Dados!$A$35),""))</f>
        <v/>
      </c>
      <c r="I21" s="20">
        <f>IF($B21="","",IF(Dados!$C$36=1,SUMIFS(Dados!$F$47:$F$4000,Dados!$C$47:$C$4000,"Cliente",Dados!$D$47:$D$4000,$B21,Dados!$A$47:$A$4000,Dados!$A$36),""))</f>
        <v/>
      </c>
      <c r="J21" s="20">
        <f>IF($B21="","",IF(Dados!$C$37=1,SUMIFS(Dados!$F$47:$F$4000,Dados!$C$47:$C$4000,"Cliente",Dados!$D$47:$D$4000,$B21,Dados!$A$47:$A$4000,Dados!$A$37),""))</f>
        <v/>
      </c>
      <c r="K21" s="20">
        <f>IF($B21="","",IF(Dados!$C$38=1,SUMIFS(Dados!$F$47:$F$4000,Dados!$C$47:$C$4000,"Cliente",Dados!$D$47:$D$4000,$B21,Dados!$A$47:$A$4000,Dados!$A$38),""))</f>
        <v/>
      </c>
      <c r="L21" s="20">
        <f>IF($B21="","",IF(Dados!$C$39=1,SUMIFS(Dados!$F$47:$F$4000,Dados!$C$47:$C$4000,"Cliente",Dados!$D$47:$D$4000,$B21,Dados!$A$47:$A$4000,Dados!$A$39),""))</f>
        <v/>
      </c>
      <c r="M21" s="20">
        <f>IF($B21="","",IF(Dados!$C$40=1,SUMIFS(Dados!$F$47:$F$4000,Dados!$C$47:$C$4000,"Cliente",Dados!$D$47:$D$4000,$B21,Dados!$A$47:$A$4000,Dados!$A$40),""))</f>
        <v/>
      </c>
      <c r="N21" s="20">
        <f>IF($B21="","",IF(Dados!$C$41=1,SUMIFS(Dados!$F$47:$F$4000,Dados!$C$47:$C$4000,"Cliente",Dados!$D$47:$D$4000,$B21,Dados!$A$47:$A$4000,Dados!$A$41),""))</f>
        <v/>
      </c>
      <c r="O21" s="20">
        <f>IF($B21="","",SUM(C21:N21))</f>
        <v/>
      </c>
      <c r="P21" s="30">
        <f>IF($B21="","",IFERROR(O21/$O$46,""))</f>
        <v/>
      </c>
      <c r="Q21" s="19">
        <f>IF(N(O21)=0,"",IF(SUM($P$5:P21)-P21&lt;0.8,"A",IF(SUM($P$5:P21)-P21&lt;0.95,"B","C")))</f>
        <v/>
      </c>
      <c r="R21" s="37">
        <f>IF(Dados!$AL$21="","",Dados!$AL$21)</f>
        <v/>
      </c>
      <c r="S21" s="29">
        <f>IF($B21="","",SUMIFS(Dados!$F$47:$F$4000,Dados!$C$47:$C$4000,"Cliente",Dados!$D$47:$D$4000,$B21,Dados!$A$47:$A$4000,"&gt;="&amp;Dados!$A$18,Dados!$A$47:$A$4000,"&lt;="&amp;Dados!$A$29))</f>
        <v/>
      </c>
    </row>
    <row r="22">
      <c r="B22" s="18">
        <f>IF(Dados!$AK$22="","",Dados!$AK$22)</f>
        <v/>
      </c>
      <c r="C22" s="20">
        <f>IF($B22="","",IF(Dados!$C$30=1,SUMIFS(Dados!$F$47:$F$4000,Dados!$C$47:$C$4000,"Cliente",Dados!$D$47:$D$4000,$B22,Dados!$A$47:$A$4000,Dados!$A$30),""))</f>
        <v/>
      </c>
      <c r="D22" s="20">
        <f>IF($B22="","",IF(Dados!$C$31=1,SUMIFS(Dados!$F$47:$F$4000,Dados!$C$47:$C$4000,"Cliente",Dados!$D$47:$D$4000,$B22,Dados!$A$47:$A$4000,Dados!$A$31),""))</f>
        <v/>
      </c>
      <c r="E22" s="20">
        <f>IF($B22="","",IF(Dados!$C$32=1,SUMIFS(Dados!$F$47:$F$4000,Dados!$C$47:$C$4000,"Cliente",Dados!$D$47:$D$4000,$B22,Dados!$A$47:$A$4000,Dados!$A$32),""))</f>
        <v/>
      </c>
      <c r="F22" s="20">
        <f>IF($B22="","",IF(Dados!$C$33=1,SUMIFS(Dados!$F$47:$F$4000,Dados!$C$47:$C$4000,"Cliente",Dados!$D$47:$D$4000,$B22,Dados!$A$47:$A$4000,Dados!$A$33),""))</f>
        <v/>
      </c>
      <c r="G22" s="20">
        <f>IF($B22="","",IF(Dados!$C$34=1,SUMIFS(Dados!$F$47:$F$4000,Dados!$C$47:$C$4000,"Cliente",Dados!$D$47:$D$4000,$B22,Dados!$A$47:$A$4000,Dados!$A$34),""))</f>
        <v/>
      </c>
      <c r="H22" s="20">
        <f>IF($B22="","",IF(Dados!$C$35=1,SUMIFS(Dados!$F$47:$F$4000,Dados!$C$47:$C$4000,"Cliente",Dados!$D$47:$D$4000,$B22,Dados!$A$47:$A$4000,Dados!$A$35),""))</f>
        <v/>
      </c>
      <c r="I22" s="20">
        <f>IF($B22="","",IF(Dados!$C$36=1,SUMIFS(Dados!$F$47:$F$4000,Dados!$C$47:$C$4000,"Cliente",Dados!$D$47:$D$4000,$B22,Dados!$A$47:$A$4000,Dados!$A$36),""))</f>
        <v/>
      </c>
      <c r="J22" s="20">
        <f>IF($B22="","",IF(Dados!$C$37=1,SUMIFS(Dados!$F$47:$F$4000,Dados!$C$47:$C$4000,"Cliente",Dados!$D$47:$D$4000,$B22,Dados!$A$47:$A$4000,Dados!$A$37),""))</f>
        <v/>
      </c>
      <c r="K22" s="20">
        <f>IF($B22="","",IF(Dados!$C$38=1,SUMIFS(Dados!$F$47:$F$4000,Dados!$C$47:$C$4000,"Cliente",Dados!$D$47:$D$4000,$B22,Dados!$A$47:$A$4000,Dados!$A$38),""))</f>
        <v/>
      </c>
      <c r="L22" s="20">
        <f>IF($B22="","",IF(Dados!$C$39=1,SUMIFS(Dados!$F$47:$F$4000,Dados!$C$47:$C$4000,"Cliente",Dados!$D$47:$D$4000,$B22,Dados!$A$47:$A$4000,Dados!$A$39),""))</f>
        <v/>
      </c>
      <c r="M22" s="20">
        <f>IF($B22="","",IF(Dados!$C$40=1,SUMIFS(Dados!$F$47:$F$4000,Dados!$C$47:$C$4000,"Cliente",Dados!$D$47:$D$4000,$B22,Dados!$A$47:$A$4000,Dados!$A$40),""))</f>
        <v/>
      </c>
      <c r="N22" s="20">
        <f>IF($B22="","",IF(Dados!$C$41=1,SUMIFS(Dados!$F$47:$F$4000,Dados!$C$47:$C$4000,"Cliente",Dados!$D$47:$D$4000,$B22,Dados!$A$47:$A$4000,Dados!$A$41),""))</f>
        <v/>
      </c>
      <c r="O22" s="20">
        <f>IF($B22="","",SUM(C22:N22))</f>
        <v/>
      </c>
      <c r="P22" s="30">
        <f>IF($B22="","",IFERROR(O22/$O$46,""))</f>
        <v/>
      </c>
      <c r="Q22" s="19">
        <f>IF(N(O22)=0,"",IF(SUM($P$5:P22)-P22&lt;0.8,"A",IF(SUM($P$5:P22)-P22&lt;0.95,"B","C")))</f>
        <v/>
      </c>
      <c r="R22" s="37">
        <f>IF(Dados!$AL$22="","",Dados!$AL$22)</f>
        <v/>
      </c>
      <c r="S22" s="29">
        <f>IF($B22="","",SUMIFS(Dados!$F$47:$F$4000,Dados!$C$47:$C$4000,"Cliente",Dados!$D$47:$D$4000,$B22,Dados!$A$47:$A$4000,"&gt;="&amp;Dados!$A$18,Dados!$A$47:$A$4000,"&lt;="&amp;Dados!$A$29))</f>
        <v/>
      </c>
    </row>
    <row r="23">
      <c r="B23" s="18">
        <f>IF(Dados!$AK$23="","",Dados!$AK$23)</f>
        <v/>
      </c>
      <c r="C23" s="20">
        <f>IF($B23="","",IF(Dados!$C$30=1,SUMIFS(Dados!$F$47:$F$4000,Dados!$C$47:$C$4000,"Cliente",Dados!$D$47:$D$4000,$B23,Dados!$A$47:$A$4000,Dados!$A$30),""))</f>
        <v/>
      </c>
      <c r="D23" s="20">
        <f>IF($B23="","",IF(Dados!$C$31=1,SUMIFS(Dados!$F$47:$F$4000,Dados!$C$47:$C$4000,"Cliente",Dados!$D$47:$D$4000,$B23,Dados!$A$47:$A$4000,Dados!$A$31),""))</f>
        <v/>
      </c>
      <c r="E23" s="20">
        <f>IF($B23="","",IF(Dados!$C$32=1,SUMIFS(Dados!$F$47:$F$4000,Dados!$C$47:$C$4000,"Cliente",Dados!$D$47:$D$4000,$B23,Dados!$A$47:$A$4000,Dados!$A$32),""))</f>
        <v/>
      </c>
      <c r="F23" s="20">
        <f>IF($B23="","",IF(Dados!$C$33=1,SUMIFS(Dados!$F$47:$F$4000,Dados!$C$47:$C$4000,"Cliente",Dados!$D$47:$D$4000,$B23,Dados!$A$47:$A$4000,Dados!$A$33),""))</f>
        <v/>
      </c>
      <c r="G23" s="20">
        <f>IF($B23="","",IF(Dados!$C$34=1,SUMIFS(Dados!$F$47:$F$4000,Dados!$C$47:$C$4000,"Cliente",Dados!$D$47:$D$4000,$B23,Dados!$A$47:$A$4000,Dados!$A$34),""))</f>
        <v/>
      </c>
      <c r="H23" s="20">
        <f>IF($B23="","",IF(Dados!$C$35=1,SUMIFS(Dados!$F$47:$F$4000,Dados!$C$47:$C$4000,"Cliente",Dados!$D$47:$D$4000,$B23,Dados!$A$47:$A$4000,Dados!$A$35),""))</f>
        <v/>
      </c>
      <c r="I23" s="20">
        <f>IF($B23="","",IF(Dados!$C$36=1,SUMIFS(Dados!$F$47:$F$4000,Dados!$C$47:$C$4000,"Cliente",Dados!$D$47:$D$4000,$B23,Dados!$A$47:$A$4000,Dados!$A$36),""))</f>
        <v/>
      </c>
      <c r="J23" s="20">
        <f>IF($B23="","",IF(Dados!$C$37=1,SUMIFS(Dados!$F$47:$F$4000,Dados!$C$47:$C$4000,"Cliente",Dados!$D$47:$D$4000,$B23,Dados!$A$47:$A$4000,Dados!$A$37),""))</f>
        <v/>
      </c>
      <c r="K23" s="20">
        <f>IF($B23="","",IF(Dados!$C$38=1,SUMIFS(Dados!$F$47:$F$4000,Dados!$C$47:$C$4000,"Cliente",Dados!$D$47:$D$4000,$B23,Dados!$A$47:$A$4000,Dados!$A$38),""))</f>
        <v/>
      </c>
      <c r="L23" s="20">
        <f>IF($B23="","",IF(Dados!$C$39=1,SUMIFS(Dados!$F$47:$F$4000,Dados!$C$47:$C$4000,"Cliente",Dados!$D$47:$D$4000,$B23,Dados!$A$47:$A$4000,Dados!$A$39),""))</f>
        <v/>
      </c>
      <c r="M23" s="20">
        <f>IF($B23="","",IF(Dados!$C$40=1,SUMIFS(Dados!$F$47:$F$4000,Dados!$C$47:$C$4000,"Cliente",Dados!$D$47:$D$4000,$B23,Dados!$A$47:$A$4000,Dados!$A$40),""))</f>
        <v/>
      </c>
      <c r="N23" s="20">
        <f>IF($B23="","",IF(Dados!$C$41=1,SUMIFS(Dados!$F$47:$F$4000,Dados!$C$47:$C$4000,"Cliente",Dados!$D$47:$D$4000,$B23,Dados!$A$47:$A$4000,Dados!$A$41),""))</f>
        <v/>
      </c>
      <c r="O23" s="20">
        <f>IF($B23="","",SUM(C23:N23))</f>
        <v/>
      </c>
      <c r="P23" s="30">
        <f>IF($B23="","",IFERROR(O23/$O$46,""))</f>
        <v/>
      </c>
      <c r="Q23" s="19">
        <f>IF(N(O23)=0,"",IF(SUM($P$5:P23)-P23&lt;0.8,"A",IF(SUM($P$5:P23)-P23&lt;0.95,"B","C")))</f>
        <v/>
      </c>
      <c r="R23" s="37">
        <f>IF(Dados!$AL$23="","",Dados!$AL$23)</f>
        <v/>
      </c>
      <c r="S23" s="29">
        <f>IF($B23="","",SUMIFS(Dados!$F$47:$F$4000,Dados!$C$47:$C$4000,"Cliente",Dados!$D$47:$D$4000,$B23,Dados!$A$47:$A$4000,"&gt;="&amp;Dados!$A$18,Dados!$A$47:$A$4000,"&lt;="&amp;Dados!$A$29))</f>
        <v/>
      </c>
    </row>
    <row r="24">
      <c r="B24" s="18">
        <f>IF(Dados!$AK$24="","",Dados!$AK$24)</f>
        <v/>
      </c>
      <c r="C24" s="20">
        <f>IF($B24="","",IF(Dados!$C$30=1,SUMIFS(Dados!$F$47:$F$4000,Dados!$C$47:$C$4000,"Cliente",Dados!$D$47:$D$4000,$B24,Dados!$A$47:$A$4000,Dados!$A$30),""))</f>
        <v/>
      </c>
      <c r="D24" s="20">
        <f>IF($B24="","",IF(Dados!$C$31=1,SUMIFS(Dados!$F$47:$F$4000,Dados!$C$47:$C$4000,"Cliente",Dados!$D$47:$D$4000,$B24,Dados!$A$47:$A$4000,Dados!$A$31),""))</f>
        <v/>
      </c>
      <c r="E24" s="20">
        <f>IF($B24="","",IF(Dados!$C$32=1,SUMIFS(Dados!$F$47:$F$4000,Dados!$C$47:$C$4000,"Cliente",Dados!$D$47:$D$4000,$B24,Dados!$A$47:$A$4000,Dados!$A$32),""))</f>
        <v/>
      </c>
      <c r="F24" s="20">
        <f>IF($B24="","",IF(Dados!$C$33=1,SUMIFS(Dados!$F$47:$F$4000,Dados!$C$47:$C$4000,"Cliente",Dados!$D$47:$D$4000,$B24,Dados!$A$47:$A$4000,Dados!$A$33),""))</f>
        <v/>
      </c>
      <c r="G24" s="20">
        <f>IF($B24="","",IF(Dados!$C$34=1,SUMIFS(Dados!$F$47:$F$4000,Dados!$C$47:$C$4000,"Cliente",Dados!$D$47:$D$4000,$B24,Dados!$A$47:$A$4000,Dados!$A$34),""))</f>
        <v/>
      </c>
      <c r="H24" s="20">
        <f>IF($B24="","",IF(Dados!$C$35=1,SUMIFS(Dados!$F$47:$F$4000,Dados!$C$47:$C$4000,"Cliente",Dados!$D$47:$D$4000,$B24,Dados!$A$47:$A$4000,Dados!$A$35),""))</f>
        <v/>
      </c>
      <c r="I24" s="20">
        <f>IF($B24="","",IF(Dados!$C$36=1,SUMIFS(Dados!$F$47:$F$4000,Dados!$C$47:$C$4000,"Cliente",Dados!$D$47:$D$4000,$B24,Dados!$A$47:$A$4000,Dados!$A$36),""))</f>
        <v/>
      </c>
      <c r="J24" s="20">
        <f>IF($B24="","",IF(Dados!$C$37=1,SUMIFS(Dados!$F$47:$F$4000,Dados!$C$47:$C$4000,"Cliente",Dados!$D$47:$D$4000,$B24,Dados!$A$47:$A$4000,Dados!$A$37),""))</f>
        <v/>
      </c>
      <c r="K24" s="20">
        <f>IF($B24="","",IF(Dados!$C$38=1,SUMIFS(Dados!$F$47:$F$4000,Dados!$C$47:$C$4000,"Cliente",Dados!$D$47:$D$4000,$B24,Dados!$A$47:$A$4000,Dados!$A$38),""))</f>
        <v/>
      </c>
      <c r="L24" s="20">
        <f>IF($B24="","",IF(Dados!$C$39=1,SUMIFS(Dados!$F$47:$F$4000,Dados!$C$47:$C$4000,"Cliente",Dados!$D$47:$D$4000,$B24,Dados!$A$47:$A$4000,Dados!$A$39),""))</f>
        <v/>
      </c>
      <c r="M24" s="20">
        <f>IF($B24="","",IF(Dados!$C$40=1,SUMIFS(Dados!$F$47:$F$4000,Dados!$C$47:$C$4000,"Cliente",Dados!$D$47:$D$4000,$B24,Dados!$A$47:$A$4000,Dados!$A$40),""))</f>
        <v/>
      </c>
      <c r="N24" s="20">
        <f>IF($B24="","",IF(Dados!$C$41=1,SUMIFS(Dados!$F$47:$F$4000,Dados!$C$47:$C$4000,"Cliente",Dados!$D$47:$D$4000,$B24,Dados!$A$47:$A$4000,Dados!$A$41),""))</f>
        <v/>
      </c>
      <c r="O24" s="20">
        <f>IF($B24="","",SUM(C24:N24))</f>
        <v/>
      </c>
      <c r="P24" s="30">
        <f>IF($B24="","",IFERROR(O24/$O$46,""))</f>
        <v/>
      </c>
      <c r="Q24" s="19">
        <f>IF(N(O24)=0,"",IF(SUM($P$5:P24)-P24&lt;0.8,"A",IF(SUM($P$5:P24)-P24&lt;0.95,"B","C")))</f>
        <v/>
      </c>
      <c r="R24" s="37">
        <f>IF(Dados!$AL$24="","",Dados!$AL$24)</f>
        <v/>
      </c>
      <c r="S24" s="29">
        <f>IF($B24="","",SUMIFS(Dados!$F$47:$F$4000,Dados!$C$47:$C$4000,"Cliente",Dados!$D$47:$D$4000,$B24,Dados!$A$47:$A$4000,"&gt;="&amp;Dados!$A$18,Dados!$A$47:$A$4000,"&lt;="&amp;Dados!$A$29))</f>
        <v/>
      </c>
    </row>
    <row r="25">
      <c r="B25" s="18">
        <f>IF(Dados!$AK$25="","",Dados!$AK$25)</f>
        <v/>
      </c>
      <c r="C25" s="20">
        <f>IF($B25="","",IF(Dados!$C$30=1,SUMIFS(Dados!$F$47:$F$4000,Dados!$C$47:$C$4000,"Cliente",Dados!$D$47:$D$4000,$B25,Dados!$A$47:$A$4000,Dados!$A$30),""))</f>
        <v/>
      </c>
      <c r="D25" s="20">
        <f>IF($B25="","",IF(Dados!$C$31=1,SUMIFS(Dados!$F$47:$F$4000,Dados!$C$47:$C$4000,"Cliente",Dados!$D$47:$D$4000,$B25,Dados!$A$47:$A$4000,Dados!$A$31),""))</f>
        <v/>
      </c>
      <c r="E25" s="20">
        <f>IF($B25="","",IF(Dados!$C$32=1,SUMIFS(Dados!$F$47:$F$4000,Dados!$C$47:$C$4000,"Cliente",Dados!$D$47:$D$4000,$B25,Dados!$A$47:$A$4000,Dados!$A$32),""))</f>
        <v/>
      </c>
      <c r="F25" s="20">
        <f>IF($B25="","",IF(Dados!$C$33=1,SUMIFS(Dados!$F$47:$F$4000,Dados!$C$47:$C$4000,"Cliente",Dados!$D$47:$D$4000,$B25,Dados!$A$47:$A$4000,Dados!$A$33),""))</f>
        <v/>
      </c>
      <c r="G25" s="20">
        <f>IF($B25="","",IF(Dados!$C$34=1,SUMIFS(Dados!$F$47:$F$4000,Dados!$C$47:$C$4000,"Cliente",Dados!$D$47:$D$4000,$B25,Dados!$A$47:$A$4000,Dados!$A$34),""))</f>
        <v/>
      </c>
      <c r="H25" s="20">
        <f>IF($B25="","",IF(Dados!$C$35=1,SUMIFS(Dados!$F$47:$F$4000,Dados!$C$47:$C$4000,"Cliente",Dados!$D$47:$D$4000,$B25,Dados!$A$47:$A$4000,Dados!$A$35),""))</f>
        <v/>
      </c>
      <c r="I25" s="20">
        <f>IF($B25="","",IF(Dados!$C$36=1,SUMIFS(Dados!$F$47:$F$4000,Dados!$C$47:$C$4000,"Cliente",Dados!$D$47:$D$4000,$B25,Dados!$A$47:$A$4000,Dados!$A$36),""))</f>
        <v/>
      </c>
      <c r="J25" s="20">
        <f>IF($B25="","",IF(Dados!$C$37=1,SUMIFS(Dados!$F$47:$F$4000,Dados!$C$47:$C$4000,"Cliente",Dados!$D$47:$D$4000,$B25,Dados!$A$47:$A$4000,Dados!$A$37),""))</f>
        <v/>
      </c>
      <c r="K25" s="20">
        <f>IF($B25="","",IF(Dados!$C$38=1,SUMIFS(Dados!$F$47:$F$4000,Dados!$C$47:$C$4000,"Cliente",Dados!$D$47:$D$4000,$B25,Dados!$A$47:$A$4000,Dados!$A$38),""))</f>
        <v/>
      </c>
      <c r="L25" s="20">
        <f>IF($B25="","",IF(Dados!$C$39=1,SUMIFS(Dados!$F$47:$F$4000,Dados!$C$47:$C$4000,"Cliente",Dados!$D$47:$D$4000,$B25,Dados!$A$47:$A$4000,Dados!$A$39),""))</f>
        <v/>
      </c>
      <c r="M25" s="20">
        <f>IF($B25="","",IF(Dados!$C$40=1,SUMIFS(Dados!$F$47:$F$4000,Dados!$C$47:$C$4000,"Cliente",Dados!$D$47:$D$4000,$B25,Dados!$A$47:$A$4000,Dados!$A$40),""))</f>
        <v/>
      </c>
      <c r="N25" s="20">
        <f>IF($B25="","",IF(Dados!$C$41=1,SUMIFS(Dados!$F$47:$F$4000,Dados!$C$47:$C$4000,"Cliente",Dados!$D$47:$D$4000,$B25,Dados!$A$47:$A$4000,Dados!$A$41),""))</f>
        <v/>
      </c>
      <c r="O25" s="20">
        <f>IF($B25="","",SUM(C25:N25))</f>
        <v/>
      </c>
      <c r="P25" s="30">
        <f>IF($B25="","",IFERROR(O25/$O$46,""))</f>
        <v/>
      </c>
      <c r="Q25" s="19">
        <f>IF(N(O25)=0,"",IF(SUM($P$5:P25)-P25&lt;0.8,"A",IF(SUM($P$5:P25)-P25&lt;0.95,"B","C")))</f>
        <v/>
      </c>
      <c r="R25" s="37">
        <f>IF(Dados!$AL$25="","",Dados!$AL$25)</f>
        <v/>
      </c>
      <c r="S25" s="29">
        <f>IF($B25="","",SUMIFS(Dados!$F$47:$F$4000,Dados!$C$47:$C$4000,"Cliente",Dados!$D$47:$D$4000,$B25,Dados!$A$47:$A$4000,"&gt;="&amp;Dados!$A$18,Dados!$A$47:$A$4000,"&lt;="&amp;Dados!$A$29))</f>
        <v/>
      </c>
    </row>
    <row r="26">
      <c r="B26" s="18">
        <f>IF(Dados!$AK$26="","",Dados!$AK$26)</f>
        <v/>
      </c>
      <c r="C26" s="20">
        <f>IF($B26="","",IF(Dados!$C$30=1,SUMIFS(Dados!$F$47:$F$4000,Dados!$C$47:$C$4000,"Cliente",Dados!$D$47:$D$4000,$B26,Dados!$A$47:$A$4000,Dados!$A$30),""))</f>
        <v/>
      </c>
      <c r="D26" s="20">
        <f>IF($B26="","",IF(Dados!$C$31=1,SUMIFS(Dados!$F$47:$F$4000,Dados!$C$47:$C$4000,"Cliente",Dados!$D$47:$D$4000,$B26,Dados!$A$47:$A$4000,Dados!$A$31),""))</f>
        <v/>
      </c>
      <c r="E26" s="20">
        <f>IF($B26="","",IF(Dados!$C$32=1,SUMIFS(Dados!$F$47:$F$4000,Dados!$C$47:$C$4000,"Cliente",Dados!$D$47:$D$4000,$B26,Dados!$A$47:$A$4000,Dados!$A$32),""))</f>
        <v/>
      </c>
      <c r="F26" s="20">
        <f>IF($B26="","",IF(Dados!$C$33=1,SUMIFS(Dados!$F$47:$F$4000,Dados!$C$47:$C$4000,"Cliente",Dados!$D$47:$D$4000,$B26,Dados!$A$47:$A$4000,Dados!$A$33),""))</f>
        <v/>
      </c>
      <c r="G26" s="20">
        <f>IF($B26="","",IF(Dados!$C$34=1,SUMIFS(Dados!$F$47:$F$4000,Dados!$C$47:$C$4000,"Cliente",Dados!$D$47:$D$4000,$B26,Dados!$A$47:$A$4000,Dados!$A$34),""))</f>
        <v/>
      </c>
      <c r="H26" s="20">
        <f>IF($B26="","",IF(Dados!$C$35=1,SUMIFS(Dados!$F$47:$F$4000,Dados!$C$47:$C$4000,"Cliente",Dados!$D$47:$D$4000,$B26,Dados!$A$47:$A$4000,Dados!$A$35),""))</f>
        <v/>
      </c>
      <c r="I26" s="20">
        <f>IF($B26="","",IF(Dados!$C$36=1,SUMIFS(Dados!$F$47:$F$4000,Dados!$C$47:$C$4000,"Cliente",Dados!$D$47:$D$4000,$B26,Dados!$A$47:$A$4000,Dados!$A$36),""))</f>
        <v/>
      </c>
      <c r="J26" s="20">
        <f>IF($B26="","",IF(Dados!$C$37=1,SUMIFS(Dados!$F$47:$F$4000,Dados!$C$47:$C$4000,"Cliente",Dados!$D$47:$D$4000,$B26,Dados!$A$47:$A$4000,Dados!$A$37),""))</f>
        <v/>
      </c>
      <c r="K26" s="20">
        <f>IF($B26="","",IF(Dados!$C$38=1,SUMIFS(Dados!$F$47:$F$4000,Dados!$C$47:$C$4000,"Cliente",Dados!$D$47:$D$4000,$B26,Dados!$A$47:$A$4000,Dados!$A$38),""))</f>
        <v/>
      </c>
      <c r="L26" s="20">
        <f>IF($B26="","",IF(Dados!$C$39=1,SUMIFS(Dados!$F$47:$F$4000,Dados!$C$47:$C$4000,"Cliente",Dados!$D$47:$D$4000,$B26,Dados!$A$47:$A$4000,Dados!$A$39),""))</f>
        <v/>
      </c>
      <c r="M26" s="20">
        <f>IF($B26="","",IF(Dados!$C$40=1,SUMIFS(Dados!$F$47:$F$4000,Dados!$C$47:$C$4000,"Cliente",Dados!$D$47:$D$4000,$B26,Dados!$A$47:$A$4000,Dados!$A$40),""))</f>
        <v/>
      </c>
      <c r="N26" s="20">
        <f>IF($B26="","",IF(Dados!$C$41=1,SUMIFS(Dados!$F$47:$F$4000,Dados!$C$47:$C$4000,"Cliente",Dados!$D$47:$D$4000,$B26,Dados!$A$47:$A$4000,Dados!$A$41),""))</f>
        <v/>
      </c>
      <c r="O26" s="20">
        <f>IF($B26="","",SUM(C26:N26))</f>
        <v/>
      </c>
      <c r="P26" s="30">
        <f>IF($B26="","",IFERROR(O26/$O$46,""))</f>
        <v/>
      </c>
      <c r="Q26" s="19">
        <f>IF(N(O26)=0,"",IF(SUM($P$5:P26)-P26&lt;0.8,"A",IF(SUM($P$5:P26)-P26&lt;0.95,"B","C")))</f>
        <v/>
      </c>
      <c r="R26" s="37">
        <f>IF(Dados!$AL$26="","",Dados!$AL$26)</f>
        <v/>
      </c>
      <c r="S26" s="29">
        <f>IF($B26="","",SUMIFS(Dados!$F$47:$F$4000,Dados!$C$47:$C$4000,"Cliente",Dados!$D$47:$D$4000,$B26,Dados!$A$47:$A$4000,"&gt;="&amp;Dados!$A$18,Dados!$A$47:$A$4000,"&lt;="&amp;Dados!$A$29))</f>
        <v/>
      </c>
    </row>
    <row r="27">
      <c r="B27" s="18">
        <f>IF(Dados!$AK$27="","",Dados!$AK$27)</f>
        <v/>
      </c>
      <c r="C27" s="20">
        <f>IF($B27="","",IF(Dados!$C$30=1,SUMIFS(Dados!$F$47:$F$4000,Dados!$C$47:$C$4000,"Cliente",Dados!$D$47:$D$4000,$B27,Dados!$A$47:$A$4000,Dados!$A$30),""))</f>
        <v/>
      </c>
      <c r="D27" s="20">
        <f>IF($B27="","",IF(Dados!$C$31=1,SUMIFS(Dados!$F$47:$F$4000,Dados!$C$47:$C$4000,"Cliente",Dados!$D$47:$D$4000,$B27,Dados!$A$47:$A$4000,Dados!$A$31),""))</f>
        <v/>
      </c>
      <c r="E27" s="20">
        <f>IF($B27="","",IF(Dados!$C$32=1,SUMIFS(Dados!$F$47:$F$4000,Dados!$C$47:$C$4000,"Cliente",Dados!$D$47:$D$4000,$B27,Dados!$A$47:$A$4000,Dados!$A$32),""))</f>
        <v/>
      </c>
      <c r="F27" s="20">
        <f>IF($B27="","",IF(Dados!$C$33=1,SUMIFS(Dados!$F$47:$F$4000,Dados!$C$47:$C$4000,"Cliente",Dados!$D$47:$D$4000,$B27,Dados!$A$47:$A$4000,Dados!$A$33),""))</f>
        <v/>
      </c>
      <c r="G27" s="20">
        <f>IF($B27="","",IF(Dados!$C$34=1,SUMIFS(Dados!$F$47:$F$4000,Dados!$C$47:$C$4000,"Cliente",Dados!$D$47:$D$4000,$B27,Dados!$A$47:$A$4000,Dados!$A$34),""))</f>
        <v/>
      </c>
      <c r="H27" s="20">
        <f>IF($B27="","",IF(Dados!$C$35=1,SUMIFS(Dados!$F$47:$F$4000,Dados!$C$47:$C$4000,"Cliente",Dados!$D$47:$D$4000,$B27,Dados!$A$47:$A$4000,Dados!$A$35),""))</f>
        <v/>
      </c>
      <c r="I27" s="20">
        <f>IF($B27="","",IF(Dados!$C$36=1,SUMIFS(Dados!$F$47:$F$4000,Dados!$C$47:$C$4000,"Cliente",Dados!$D$47:$D$4000,$B27,Dados!$A$47:$A$4000,Dados!$A$36),""))</f>
        <v/>
      </c>
      <c r="J27" s="20">
        <f>IF($B27="","",IF(Dados!$C$37=1,SUMIFS(Dados!$F$47:$F$4000,Dados!$C$47:$C$4000,"Cliente",Dados!$D$47:$D$4000,$B27,Dados!$A$47:$A$4000,Dados!$A$37),""))</f>
        <v/>
      </c>
      <c r="K27" s="20">
        <f>IF($B27="","",IF(Dados!$C$38=1,SUMIFS(Dados!$F$47:$F$4000,Dados!$C$47:$C$4000,"Cliente",Dados!$D$47:$D$4000,$B27,Dados!$A$47:$A$4000,Dados!$A$38),""))</f>
        <v/>
      </c>
      <c r="L27" s="20">
        <f>IF($B27="","",IF(Dados!$C$39=1,SUMIFS(Dados!$F$47:$F$4000,Dados!$C$47:$C$4000,"Cliente",Dados!$D$47:$D$4000,$B27,Dados!$A$47:$A$4000,Dados!$A$39),""))</f>
        <v/>
      </c>
      <c r="M27" s="20">
        <f>IF($B27="","",IF(Dados!$C$40=1,SUMIFS(Dados!$F$47:$F$4000,Dados!$C$47:$C$4000,"Cliente",Dados!$D$47:$D$4000,$B27,Dados!$A$47:$A$4000,Dados!$A$40),""))</f>
        <v/>
      </c>
      <c r="N27" s="20">
        <f>IF($B27="","",IF(Dados!$C$41=1,SUMIFS(Dados!$F$47:$F$4000,Dados!$C$47:$C$4000,"Cliente",Dados!$D$47:$D$4000,$B27,Dados!$A$47:$A$4000,Dados!$A$41),""))</f>
        <v/>
      </c>
      <c r="O27" s="20">
        <f>IF($B27="","",SUM(C27:N27))</f>
        <v/>
      </c>
      <c r="P27" s="30">
        <f>IF($B27="","",IFERROR(O27/$O$46,""))</f>
        <v/>
      </c>
      <c r="Q27" s="19">
        <f>IF(N(O27)=0,"",IF(SUM($P$5:P27)-P27&lt;0.8,"A",IF(SUM($P$5:P27)-P27&lt;0.95,"B","C")))</f>
        <v/>
      </c>
      <c r="R27" s="37">
        <f>IF(Dados!$AL$27="","",Dados!$AL$27)</f>
        <v/>
      </c>
      <c r="S27" s="29">
        <f>IF($B27="","",SUMIFS(Dados!$F$47:$F$4000,Dados!$C$47:$C$4000,"Cliente",Dados!$D$47:$D$4000,$B27,Dados!$A$47:$A$4000,"&gt;="&amp;Dados!$A$18,Dados!$A$47:$A$4000,"&lt;="&amp;Dados!$A$29))</f>
        <v/>
      </c>
    </row>
    <row r="28">
      <c r="B28" s="18">
        <f>IF(Dados!$AK$28="","",Dados!$AK$28)</f>
        <v/>
      </c>
      <c r="C28" s="20">
        <f>IF($B28="","",IF(Dados!$C$30=1,SUMIFS(Dados!$F$47:$F$4000,Dados!$C$47:$C$4000,"Cliente",Dados!$D$47:$D$4000,$B28,Dados!$A$47:$A$4000,Dados!$A$30),""))</f>
        <v/>
      </c>
      <c r="D28" s="20">
        <f>IF($B28="","",IF(Dados!$C$31=1,SUMIFS(Dados!$F$47:$F$4000,Dados!$C$47:$C$4000,"Cliente",Dados!$D$47:$D$4000,$B28,Dados!$A$47:$A$4000,Dados!$A$31),""))</f>
        <v/>
      </c>
      <c r="E28" s="20">
        <f>IF($B28="","",IF(Dados!$C$32=1,SUMIFS(Dados!$F$47:$F$4000,Dados!$C$47:$C$4000,"Cliente",Dados!$D$47:$D$4000,$B28,Dados!$A$47:$A$4000,Dados!$A$32),""))</f>
        <v/>
      </c>
      <c r="F28" s="20">
        <f>IF($B28="","",IF(Dados!$C$33=1,SUMIFS(Dados!$F$47:$F$4000,Dados!$C$47:$C$4000,"Cliente",Dados!$D$47:$D$4000,$B28,Dados!$A$47:$A$4000,Dados!$A$33),""))</f>
        <v/>
      </c>
      <c r="G28" s="20">
        <f>IF($B28="","",IF(Dados!$C$34=1,SUMIFS(Dados!$F$47:$F$4000,Dados!$C$47:$C$4000,"Cliente",Dados!$D$47:$D$4000,$B28,Dados!$A$47:$A$4000,Dados!$A$34),""))</f>
        <v/>
      </c>
      <c r="H28" s="20">
        <f>IF($B28="","",IF(Dados!$C$35=1,SUMIFS(Dados!$F$47:$F$4000,Dados!$C$47:$C$4000,"Cliente",Dados!$D$47:$D$4000,$B28,Dados!$A$47:$A$4000,Dados!$A$35),""))</f>
        <v/>
      </c>
      <c r="I28" s="20">
        <f>IF($B28="","",IF(Dados!$C$36=1,SUMIFS(Dados!$F$47:$F$4000,Dados!$C$47:$C$4000,"Cliente",Dados!$D$47:$D$4000,$B28,Dados!$A$47:$A$4000,Dados!$A$36),""))</f>
        <v/>
      </c>
      <c r="J28" s="20">
        <f>IF($B28="","",IF(Dados!$C$37=1,SUMIFS(Dados!$F$47:$F$4000,Dados!$C$47:$C$4000,"Cliente",Dados!$D$47:$D$4000,$B28,Dados!$A$47:$A$4000,Dados!$A$37),""))</f>
        <v/>
      </c>
      <c r="K28" s="20">
        <f>IF($B28="","",IF(Dados!$C$38=1,SUMIFS(Dados!$F$47:$F$4000,Dados!$C$47:$C$4000,"Cliente",Dados!$D$47:$D$4000,$B28,Dados!$A$47:$A$4000,Dados!$A$38),""))</f>
        <v/>
      </c>
      <c r="L28" s="20">
        <f>IF($B28="","",IF(Dados!$C$39=1,SUMIFS(Dados!$F$47:$F$4000,Dados!$C$47:$C$4000,"Cliente",Dados!$D$47:$D$4000,$B28,Dados!$A$47:$A$4000,Dados!$A$39),""))</f>
        <v/>
      </c>
      <c r="M28" s="20">
        <f>IF($B28="","",IF(Dados!$C$40=1,SUMIFS(Dados!$F$47:$F$4000,Dados!$C$47:$C$4000,"Cliente",Dados!$D$47:$D$4000,$B28,Dados!$A$47:$A$4000,Dados!$A$40),""))</f>
        <v/>
      </c>
      <c r="N28" s="20">
        <f>IF($B28="","",IF(Dados!$C$41=1,SUMIFS(Dados!$F$47:$F$4000,Dados!$C$47:$C$4000,"Cliente",Dados!$D$47:$D$4000,$B28,Dados!$A$47:$A$4000,Dados!$A$41),""))</f>
        <v/>
      </c>
      <c r="O28" s="20">
        <f>IF($B28="","",SUM(C28:N28))</f>
        <v/>
      </c>
      <c r="P28" s="30">
        <f>IF($B28="","",IFERROR(O28/$O$46,""))</f>
        <v/>
      </c>
      <c r="Q28" s="19">
        <f>IF(N(O28)=0,"",IF(SUM($P$5:P28)-P28&lt;0.8,"A",IF(SUM($P$5:P28)-P28&lt;0.95,"B","C")))</f>
        <v/>
      </c>
      <c r="R28" s="37">
        <f>IF(Dados!$AL$28="","",Dados!$AL$28)</f>
        <v/>
      </c>
      <c r="S28" s="29">
        <f>IF($B28="","",SUMIFS(Dados!$F$47:$F$4000,Dados!$C$47:$C$4000,"Cliente",Dados!$D$47:$D$4000,$B28,Dados!$A$47:$A$4000,"&gt;="&amp;Dados!$A$18,Dados!$A$47:$A$4000,"&lt;="&amp;Dados!$A$29))</f>
        <v/>
      </c>
    </row>
    <row r="29">
      <c r="B29" s="18">
        <f>IF(Dados!$AK$29="","",Dados!$AK$29)</f>
        <v/>
      </c>
      <c r="C29" s="20">
        <f>IF($B29="","",IF(Dados!$C$30=1,SUMIFS(Dados!$F$47:$F$4000,Dados!$C$47:$C$4000,"Cliente",Dados!$D$47:$D$4000,$B29,Dados!$A$47:$A$4000,Dados!$A$30),""))</f>
        <v/>
      </c>
      <c r="D29" s="20">
        <f>IF($B29="","",IF(Dados!$C$31=1,SUMIFS(Dados!$F$47:$F$4000,Dados!$C$47:$C$4000,"Cliente",Dados!$D$47:$D$4000,$B29,Dados!$A$47:$A$4000,Dados!$A$31),""))</f>
        <v/>
      </c>
      <c r="E29" s="20">
        <f>IF($B29="","",IF(Dados!$C$32=1,SUMIFS(Dados!$F$47:$F$4000,Dados!$C$47:$C$4000,"Cliente",Dados!$D$47:$D$4000,$B29,Dados!$A$47:$A$4000,Dados!$A$32),""))</f>
        <v/>
      </c>
      <c r="F29" s="20">
        <f>IF($B29="","",IF(Dados!$C$33=1,SUMIFS(Dados!$F$47:$F$4000,Dados!$C$47:$C$4000,"Cliente",Dados!$D$47:$D$4000,$B29,Dados!$A$47:$A$4000,Dados!$A$33),""))</f>
        <v/>
      </c>
      <c r="G29" s="20">
        <f>IF($B29="","",IF(Dados!$C$34=1,SUMIFS(Dados!$F$47:$F$4000,Dados!$C$47:$C$4000,"Cliente",Dados!$D$47:$D$4000,$B29,Dados!$A$47:$A$4000,Dados!$A$34),""))</f>
        <v/>
      </c>
      <c r="H29" s="20">
        <f>IF($B29="","",IF(Dados!$C$35=1,SUMIFS(Dados!$F$47:$F$4000,Dados!$C$47:$C$4000,"Cliente",Dados!$D$47:$D$4000,$B29,Dados!$A$47:$A$4000,Dados!$A$35),""))</f>
        <v/>
      </c>
      <c r="I29" s="20">
        <f>IF($B29="","",IF(Dados!$C$36=1,SUMIFS(Dados!$F$47:$F$4000,Dados!$C$47:$C$4000,"Cliente",Dados!$D$47:$D$4000,$B29,Dados!$A$47:$A$4000,Dados!$A$36),""))</f>
        <v/>
      </c>
      <c r="J29" s="20">
        <f>IF($B29="","",IF(Dados!$C$37=1,SUMIFS(Dados!$F$47:$F$4000,Dados!$C$47:$C$4000,"Cliente",Dados!$D$47:$D$4000,$B29,Dados!$A$47:$A$4000,Dados!$A$37),""))</f>
        <v/>
      </c>
      <c r="K29" s="20">
        <f>IF($B29="","",IF(Dados!$C$38=1,SUMIFS(Dados!$F$47:$F$4000,Dados!$C$47:$C$4000,"Cliente",Dados!$D$47:$D$4000,$B29,Dados!$A$47:$A$4000,Dados!$A$38),""))</f>
        <v/>
      </c>
      <c r="L29" s="20">
        <f>IF($B29="","",IF(Dados!$C$39=1,SUMIFS(Dados!$F$47:$F$4000,Dados!$C$47:$C$4000,"Cliente",Dados!$D$47:$D$4000,$B29,Dados!$A$47:$A$4000,Dados!$A$39),""))</f>
        <v/>
      </c>
      <c r="M29" s="20">
        <f>IF($B29="","",IF(Dados!$C$40=1,SUMIFS(Dados!$F$47:$F$4000,Dados!$C$47:$C$4000,"Cliente",Dados!$D$47:$D$4000,$B29,Dados!$A$47:$A$4000,Dados!$A$40),""))</f>
        <v/>
      </c>
      <c r="N29" s="20">
        <f>IF($B29="","",IF(Dados!$C$41=1,SUMIFS(Dados!$F$47:$F$4000,Dados!$C$47:$C$4000,"Cliente",Dados!$D$47:$D$4000,$B29,Dados!$A$47:$A$4000,Dados!$A$41),""))</f>
        <v/>
      </c>
      <c r="O29" s="20">
        <f>IF($B29="","",SUM(C29:N29))</f>
        <v/>
      </c>
      <c r="P29" s="30">
        <f>IF($B29="","",IFERROR(O29/$O$46,""))</f>
        <v/>
      </c>
      <c r="Q29" s="19">
        <f>IF(N(O29)=0,"",IF(SUM($P$5:P29)-P29&lt;0.8,"A",IF(SUM($P$5:P29)-P29&lt;0.95,"B","C")))</f>
        <v/>
      </c>
      <c r="R29" s="37">
        <f>IF(Dados!$AL$29="","",Dados!$AL$29)</f>
        <v/>
      </c>
      <c r="S29" s="29">
        <f>IF($B29="","",SUMIFS(Dados!$F$47:$F$4000,Dados!$C$47:$C$4000,"Cliente",Dados!$D$47:$D$4000,$B29,Dados!$A$47:$A$4000,"&gt;="&amp;Dados!$A$18,Dados!$A$47:$A$4000,"&lt;="&amp;Dados!$A$29))</f>
        <v/>
      </c>
    </row>
    <row r="30">
      <c r="B30" s="18">
        <f>IF(Dados!$AK$30="","",Dados!$AK$30)</f>
        <v/>
      </c>
      <c r="C30" s="20">
        <f>IF($B30="","",IF(Dados!$C$30=1,SUMIFS(Dados!$F$47:$F$4000,Dados!$C$47:$C$4000,"Cliente",Dados!$D$47:$D$4000,$B30,Dados!$A$47:$A$4000,Dados!$A$30),""))</f>
        <v/>
      </c>
      <c r="D30" s="20">
        <f>IF($B30="","",IF(Dados!$C$31=1,SUMIFS(Dados!$F$47:$F$4000,Dados!$C$47:$C$4000,"Cliente",Dados!$D$47:$D$4000,$B30,Dados!$A$47:$A$4000,Dados!$A$31),""))</f>
        <v/>
      </c>
      <c r="E30" s="20">
        <f>IF($B30="","",IF(Dados!$C$32=1,SUMIFS(Dados!$F$47:$F$4000,Dados!$C$47:$C$4000,"Cliente",Dados!$D$47:$D$4000,$B30,Dados!$A$47:$A$4000,Dados!$A$32),""))</f>
        <v/>
      </c>
      <c r="F30" s="20">
        <f>IF($B30="","",IF(Dados!$C$33=1,SUMIFS(Dados!$F$47:$F$4000,Dados!$C$47:$C$4000,"Cliente",Dados!$D$47:$D$4000,$B30,Dados!$A$47:$A$4000,Dados!$A$33),""))</f>
        <v/>
      </c>
      <c r="G30" s="20">
        <f>IF($B30="","",IF(Dados!$C$34=1,SUMIFS(Dados!$F$47:$F$4000,Dados!$C$47:$C$4000,"Cliente",Dados!$D$47:$D$4000,$B30,Dados!$A$47:$A$4000,Dados!$A$34),""))</f>
        <v/>
      </c>
      <c r="H30" s="20">
        <f>IF($B30="","",IF(Dados!$C$35=1,SUMIFS(Dados!$F$47:$F$4000,Dados!$C$47:$C$4000,"Cliente",Dados!$D$47:$D$4000,$B30,Dados!$A$47:$A$4000,Dados!$A$35),""))</f>
        <v/>
      </c>
      <c r="I30" s="20">
        <f>IF($B30="","",IF(Dados!$C$36=1,SUMIFS(Dados!$F$47:$F$4000,Dados!$C$47:$C$4000,"Cliente",Dados!$D$47:$D$4000,$B30,Dados!$A$47:$A$4000,Dados!$A$36),""))</f>
        <v/>
      </c>
      <c r="J30" s="20">
        <f>IF($B30="","",IF(Dados!$C$37=1,SUMIFS(Dados!$F$47:$F$4000,Dados!$C$47:$C$4000,"Cliente",Dados!$D$47:$D$4000,$B30,Dados!$A$47:$A$4000,Dados!$A$37),""))</f>
        <v/>
      </c>
      <c r="K30" s="20">
        <f>IF($B30="","",IF(Dados!$C$38=1,SUMIFS(Dados!$F$47:$F$4000,Dados!$C$47:$C$4000,"Cliente",Dados!$D$47:$D$4000,$B30,Dados!$A$47:$A$4000,Dados!$A$38),""))</f>
        <v/>
      </c>
      <c r="L30" s="20">
        <f>IF($B30="","",IF(Dados!$C$39=1,SUMIFS(Dados!$F$47:$F$4000,Dados!$C$47:$C$4000,"Cliente",Dados!$D$47:$D$4000,$B30,Dados!$A$47:$A$4000,Dados!$A$39),""))</f>
        <v/>
      </c>
      <c r="M30" s="20">
        <f>IF($B30="","",IF(Dados!$C$40=1,SUMIFS(Dados!$F$47:$F$4000,Dados!$C$47:$C$4000,"Cliente",Dados!$D$47:$D$4000,$B30,Dados!$A$47:$A$4000,Dados!$A$40),""))</f>
        <v/>
      </c>
      <c r="N30" s="20">
        <f>IF($B30="","",IF(Dados!$C$41=1,SUMIFS(Dados!$F$47:$F$4000,Dados!$C$47:$C$4000,"Cliente",Dados!$D$47:$D$4000,$B30,Dados!$A$47:$A$4000,Dados!$A$41),""))</f>
        <v/>
      </c>
      <c r="O30" s="20">
        <f>IF($B30="","",SUM(C30:N30))</f>
        <v/>
      </c>
      <c r="P30" s="30">
        <f>IF($B30="","",IFERROR(O30/$O$46,""))</f>
        <v/>
      </c>
      <c r="Q30" s="19">
        <f>IF(N(O30)=0,"",IF(SUM($P$5:P30)-P30&lt;0.8,"A",IF(SUM($P$5:P30)-P30&lt;0.95,"B","C")))</f>
        <v/>
      </c>
      <c r="R30" s="37">
        <f>IF(Dados!$AL$30="","",Dados!$AL$30)</f>
        <v/>
      </c>
      <c r="S30" s="29">
        <f>IF($B30="","",SUMIFS(Dados!$F$47:$F$4000,Dados!$C$47:$C$4000,"Cliente",Dados!$D$47:$D$4000,$B30,Dados!$A$47:$A$4000,"&gt;="&amp;Dados!$A$18,Dados!$A$47:$A$4000,"&lt;="&amp;Dados!$A$29))</f>
        <v/>
      </c>
    </row>
    <row r="31">
      <c r="B31" s="18">
        <f>IF(Dados!$AK$31="","",Dados!$AK$31)</f>
        <v/>
      </c>
      <c r="C31" s="20">
        <f>IF($B31="","",IF(Dados!$C$30=1,SUMIFS(Dados!$F$47:$F$4000,Dados!$C$47:$C$4000,"Cliente",Dados!$D$47:$D$4000,$B31,Dados!$A$47:$A$4000,Dados!$A$30),""))</f>
        <v/>
      </c>
      <c r="D31" s="20">
        <f>IF($B31="","",IF(Dados!$C$31=1,SUMIFS(Dados!$F$47:$F$4000,Dados!$C$47:$C$4000,"Cliente",Dados!$D$47:$D$4000,$B31,Dados!$A$47:$A$4000,Dados!$A$31),""))</f>
        <v/>
      </c>
      <c r="E31" s="20">
        <f>IF($B31="","",IF(Dados!$C$32=1,SUMIFS(Dados!$F$47:$F$4000,Dados!$C$47:$C$4000,"Cliente",Dados!$D$47:$D$4000,$B31,Dados!$A$47:$A$4000,Dados!$A$32),""))</f>
        <v/>
      </c>
      <c r="F31" s="20">
        <f>IF($B31="","",IF(Dados!$C$33=1,SUMIFS(Dados!$F$47:$F$4000,Dados!$C$47:$C$4000,"Cliente",Dados!$D$47:$D$4000,$B31,Dados!$A$47:$A$4000,Dados!$A$33),""))</f>
        <v/>
      </c>
      <c r="G31" s="20">
        <f>IF($B31="","",IF(Dados!$C$34=1,SUMIFS(Dados!$F$47:$F$4000,Dados!$C$47:$C$4000,"Cliente",Dados!$D$47:$D$4000,$B31,Dados!$A$47:$A$4000,Dados!$A$34),""))</f>
        <v/>
      </c>
      <c r="H31" s="20">
        <f>IF($B31="","",IF(Dados!$C$35=1,SUMIFS(Dados!$F$47:$F$4000,Dados!$C$47:$C$4000,"Cliente",Dados!$D$47:$D$4000,$B31,Dados!$A$47:$A$4000,Dados!$A$35),""))</f>
        <v/>
      </c>
      <c r="I31" s="20">
        <f>IF($B31="","",IF(Dados!$C$36=1,SUMIFS(Dados!$F$47:$F$4000,Dados!$C$47:$C$4000,"Cliente",Dados!$D$47:$D$4000,$B31,Dados!$A$47:$A$4000,Dados!$A$36),""))</f>
        <v/>
      </c>
      <c r="J31" s="20">
        <f>IF($B31="","",IF(Dados!$C$37=1,SUMIFS(Dados!$F$47:$F$4000,Dados!$C$47:$C$4000,"Cliente",Dados!$D$47:$D$4000,$B31,Dados!$A$47:$A$4000,Dados!$A$37),""))</f>
        <v/>
      </c>
      <c r="K31" s="20">
        <f>IF($B31="","",IF(Dados!$C$38=1,SUMIFS(Dados!$F$47:$F$4000,Dados!$C$47:$C$4000,"Cliente",Dados!$D$47:$D$4000,$B31,Dados!$A$47:$A$4000,Dados!$A$38),""))</f>
        <v/>
      </c>
      <c r="L31" s="20">
        <f>IF($B31="","",IF(Dados!$C$39=1,SUMIFS(Dados!$F$47:$F$4000,Dados!$C$47:$C$4000,"Cliente",Dados!$D$47:$D$4000,$B31,Dados!$A$47:$A$4000,Dados!$A$39),""))</f>
        <v/>
      </c>
      <c r="M31" s="20">
        <f>IF($B31="","",IF(Dados!$C$40=1,SUMIFS(Dados!$F$47:$F$4000,Dados!$C$47:$C$4000,"Cliente",Dados!$D$47:$D$4000,$B31,Dados!$A$47:$A$4000,Dados!$A$40),""))</f>
        <v/>
      </c>
      <c r="N31" s="20">
        <f>IF($B31="","",IF(Dados!$C$41=1,SUMIFS(Dados!$F$47:$F$4000,Dados!$C$47:$C$4000,"Cliente",Dados!$D$47:$D$4000,$B31,Dados!$A$47:$A$4000,Dados!$A$41),""))</f>
        <v/>
      </c>
      <c r="O31" s="20">
        <f>IF($B31="","",SUM(C31:N31))</f>
        <v/>
      </c>
      <c r="P31" s="30">
        <f>IF($B31="","",IFERROR(O31/$O$46,""))</f>
        <v/>
      </c>
      <c r="Q31" s="19">
        <f>IF(N(O31)=0,"",IF(SUM($P$5:P31)-P31&lt;0.8,"A",IF(SUM($P$5:P31)-P31&lt;0.95,"B","C")))</f>
        <v/>
      </c>
      <c r="R31" s="37">
        <f>IF(Dados!$AL$31="","",Dados!$AL$31)</f>
        <v/>
      </c>
      <c r="S31" s="29">
        <f>IF($B31="","",SUMIFS(Dados!$F$47:$F$4000,Dados!$C$47:$C$4000,"Cliente",Dados!$D$47:$D$4000,$B31,Dados!$A$47:$A$4000,"&gt;="&amp;Dados!$A$18,Dados!$A$47:$A$4000,"&lt;="&amp;Dados!$A$29))</f>
        <v/>
      </c>
    </row>
    <row r="32">
      <c r="B32" s="18">
        <f>IF(Dados!$AK$32="","",Dados!$AK$32)</f>
        <v/>
      </c>
      <c r="C32" s="20">
        <f>IF($B32="","",IF(Dados!$C$30=1,SUMIFS(Dados!$F$47:$F$4000,Dados!$C$47:$C$4000,"Cliente",Dados!$D$47:$D$4000,$B32,Dados!$A$47:$A$4000,Dados!$A$30),""))</f>
        <v/>
      </c>
      <c r="D32" s="20">
        <f>IF($B32="","",IF(Dados!$C$31=1,SUMIFS(Dados!$F$47:$F$4000,Dados!$C$47:$C$4000,"Cliente",Dados!$D$47:$D$4000,$B32,Dados!$A$47:$A$4000,Dados!$A$31),""))</f>
        <v/>
      </c>
      <c r="E32" s="20">
        <f>IF($B32="","",IF(Dados!$C$32=1,SUMIFS(Dados!$F$47:$F$4000,Dados!$C$47:$C$4000,"Cliente",Dados!$D$47:$D$4000,$B32,Dados!$A$47:$A$4000,Dados!$A$32),""))</f>
        <v/>
      </c>
      <c r="F32" s="20">
        <f>IF($B32="","",IF(Dados!$C$33=1,SUMIFS(Dados!$F$47:$F$4000,Dados!$C$47:$C$4000,"Cliente",Dados!$D$47:$D$4000,$B32,Dados!$A$47:$A$4000,Dados!$A$33),""))</f>
        <v/>
      </c>
      <c r="G32" s="20">
        <f>IF($B32="","",IF(Dados!$C$34=1,SUMIFS(Dados!$F$47:$F$4000,Dados!$C$47:$C$4000,"Cliente",Dados!$D$47:$D$4000,$B32,Dados!$A$47:$A$4000,Dados!$A$34),""))</f>
        <v/>
      </c>
      <c r="H32" s="20">
        <f>IF($B32="","",IF(Dados!$C$35=1,SUMIFS(Dados!$F$47:$F$4000,Dados!$C$47:$C$4000,"Cliente",Dados!$D$47:$D$4000,$B32,Dados!$A$47:$A$4000,Dados!$A$35),""))</f>
        <v/>
      </c>
      <c r="I32" s="20">
        <f>IF($B32="","",IF(Dados!$C$36=1,SUMIFS(Dados!$F$47:$F$4000,Dados!$C$47:$C$4000,"Cliente",Dados!$D$47:$D$4000,$B32,Dados!$A$47:$A$4000,Dados!$A$36),""))</f>
        <v/>
      </c>
      <c r="J32" s="20">
        <f>IF($B32="","",IF(Dados!$C$37=1,SUMIFS(Dados!$F$47:$F$4000,Dados!$C$47:$C$4000,"Cliente",Dados!$D$47:$D$4000,$B32,Dados!$A$47:$A$4000,Dados!$A$37),""))</f>
        <v/>
      </c>
      <c r="K32" s="20">
        <f>IF($B32="","",IF(Dados!$C$38=1,SUMIFS(Dados!$F$47:$F$4000,Dados!$C$47:$C$4000,"Cliente",Dados!$D$47:$D$4000,$B32,Dados!$A$47:$A$4000,Dados!$A$38),""))</f>
        <v/>
      </c>
      <c r="L32" s="20">
        <f>IF($B32="","",IF(Dados!$C$39=1,SUMIFS(Dados!$F$47:$F$4000,Dados!$C$47:$C$4000,"Cliente",Dados!$D$47:$D$4000,$B32,Dados!$A$47:$A$4000,Dados!$A$39),""))</f>
        <v/>
      </c>
      <c r="M32" s="20">
        <f>IF($B32="","",IF(Dados!$C$40=1,SUMIFS(Dados!$F$47:$F$4000,Dados!$C$47:$C$4000,"Cliente",Dados!$D$47:$D$4000,$B32,Dados!$A$47:$A$4000,Dados!$A$40),""))</f>
        <v/>
      </c>
      <c r="N32" s="20">
        <f>IF($B32="","",IF(Dados!$C$41=1,SUMIFS(Dados!$F$47:$F$4000,Dados!$C$47:$C$4000,"Cliente",Dados!$D$47:$D$4000,$B32,Dados!$A$47:$A$4000,Dados!$A$41),""))</f>
        <v/>
      </c>
      <c r="O32" s="20">
        <f>IF($B32="","",SUM(C32:N32))</f>
        <v/>
      </c>
      <c r="P32" s="30">
        <f>IF($B32="","",IFERROR(O32/$O$46,""))</f>
        <v/>
      </c>
      <c r="Q32" s="19">
        <f>IF(N(O32)=0,"",IF(SUM($P$5:P32)-P32&lt;0.8,"A",IF(SUM($P$5:P32)-P32&lt;0.95,"B","C")))</f>
        <v/>
      </c>
      <c r="R32" s="37">
        <f>IF(Dados!$AL$32="","",Dados!$AL$32)</f>
        <v/>
      </c>
      <c r="S32" s="29">
        <f>IF($B32="","",SUMIFS(Dados!$F$47:$F$4000,Dados!$C$47:$C$4000,"Cliente",Dados!$D$47:$D$4000,$B32,Dados!$A$47:$A$4000,"&gt;="&amp;Dados!$A$18,Dados!$A$47:$A$4000,"&lt;="&amp;Dados!$A$29))</f>
        <v/>
      </c>
    </row>
    <row r="33">
      <c r="B33" s="18">
        <f>IF(Dados!$AK$33="","",Dados!$AK$33)</f>
        <v/>
      </c>
      <c r="C33" s="20">
        <f>IF($B33="","",IF(Dados!$C$30=1,SUMIFS(Dados!$F$47:$F$4000,Dados!$C$47:$C$4000,"Cliente",Dados!$D$47:$D$4000,$B33,Dados!$A$47:$A$4000,Dados!$A$30),""))</f>
        <v/>
      </c>
      <c r="D33" s="20">
        <f>IF($B33="","",IF(Dados!$C$31=1,SUMIFS(Dados!$F$47:$F$4000,Dados!$C$47:$C$4000,"Cliente",Dados!$D$47:$D$4000,$B33,Dados!$A$47:$A$4000,Dados!$A$31),""))</f>
        <v/>
      </c>
      <c r="E33" s="20">
        <f>IF($B33="","",IF(Dados!$C$32=1,SUMIFS(Dados!$F$47:$F$4000,Dados!$C$47:$C$4000,"Cliente",Dados!$D$47:$D$4000,$B33,Dados!$A$47:$A$4000,Dados!$A$32),""))</f>
        <v/>
      </c>
      <c r="F33" s="20">
        <f>IF($B33="","",IF(Dados!$C$33=1,SUMIFS(Dados!$F$47:$F$4000,Dados!$C$47:$C$4000,"Cliente",Dados!$D$47:$D$4000,$B33,Dados!$A$47:$A$4000,Dados!$A$33),""))</f>
        <v/>
      </c>
      <c r="G33" s="20">
        <f>IF($B33="","",IF(Dados!$C$34=1,SUMIFS(Dados!$F$47:$F$4000,Dados!$C$47:$C$4000,"Cliente",Dados!$D$47:$D$4000,$B33,Dados!$A$47:$A$4000,Dados!$A$34),""))</f>
        <v/>
      </c>
      <c r="H33" s="20">
        <f>IF($B33="","",IF(Dados!$C$35=1,SUMIFS(Dados!$F$47:$F$4000,Dados!$C$47:$C$4000,"Cliente",Dados!$D$47:$D$4000,$B33,Dados!$A$47:$A$4000,Dados!$A$35),""))</f>
        <v/>
      </c>
      <c r="I33" s="20">
        <f>IF($B33="","",IF(Dados!$C$36=1,SUMIFS(Dados!$F$47:$F$4000,Dados!$C$47:$C$4000,"Cliente",Dados!$D$47:$D$4000,$B33,Dados!$A$47:$A$4000,Dados!$A$36),""))</f>
        <v/>
      </c>
      <c r="J33" s="20">
        <f>IF($B33="","",IF(Dados!$C$37=1,SUMIFS(Dados!$F$47:$F$4000,Dados!$C$47:$C$4000,"Cliente",Dados!$D$47:$D$4000,$B33,Dados!$A$47:$A$4000,Dados!$A$37),""))</f>
        <v/>
      </c>
      <c r="K33" s="20">
        <f>IF($B33="","",IF(Dados!$C$38=1,SUMIFS(Dados!$F$47:$F$4000,Dados!$C$47:$C$4000,"Cliente",Dados!$D$47:$D$4000,$B33,Dados!$A$47:$A$4000,Dados!$A$38),""))</f>
        <v/>
      </c>
      <c r="L33" s="20">
        <f>IF($B33="","",IF(Dados!$C$39=1,SUMIFS(Dados!$F$47:$F$4000,Dados!$C$47:$C$4000,"Cliente",Dados!$D$47:$D$4000,$B33,Dados!$A$47:$A$4000,Dados!$A$39),""))</f>
        <v/>
      </c>
      <c r="M33" s="20">
        <f>IF($B33="","",IF(Dados!$C$40=1,SUMIFS(Dados!$F$47:$F$4000,Dados!$C$47:$C$4000,"Cliente",Dados!$D$47:$D$4000,$B33,Dados!$A$47:$A$4000,Dados!$A$40),""))</f>
        <v/>
      </c>
      <c r="N33" s="20">
        <f>IF($B33="","",IF(Dados!$C$41=1,SUMIFS(Dados!$F$47:$F$4000,Dados!$C$47:$C$4000,"Cliente",Dados!$D$47:$D$4000,$B33,Dados!$A$47:$A$4000,Dados!$A$41),""))</f>
        <v/>
      </c>
      <c r="O33" s="20">
        <f>IF($B33="","",SUM(C33:N33))</f>
        <v/>
      </c>
      <c r="P33" s="30">
        <f>IF($B33="","",IFERROR(O33/$O$46,""))</f>
        <v/>
      </c>
      <c r="Q33" s="19">
        <f>IF(N(O33)=0,"",IF(SUM($P$5:P33)-P33&lt;0.8,"A",IF(SUM($P$5:P33)-P33&lt;0.95,"B","C")))</f>
        <v/>
      </c>
      <c r="R33" s="37">
        <f>IF(Dados!$AL$33="","",Dados!$AL$33)</f>
        <v/>
      </c>
      <c r="S33" s="29">
        <f>IF($B33="","",SUMIFS(Dados!$F$47:$F$4000,Dados!$C$47:$C$4000,"Cliente",Dados!$D$47:$D$4000,$B33,Dados!$A$47:$A$4000,"&gt;="&amp;Dados!$A$18,Dados!$A$47:$A$4000,"&lt;="&amp;Dados!$A$29))</f>
        <v/>
      </c>
    </row>
    <row r="34">
      <c r="B34" s="18">
        <f>IF(Dados!$AK$34="","",Dados!$AK$34)</f>
        <v/>
      </c>
      <c r="C34" s="20">
        <f>IF($B34="","",IF(Dados!$C$30=1,SUMIFS(Dados!$F$47:$F$4000,Dados!$C$47:$C$4000,"Cliente",Dados!$D$47:$D$4000,$B34,Dados!$A$47:$A$4000,Dados!$A$30),""))</f>
        <v/>
      </c>
      <c r="D34" s="20">
        <f>IF($B34="","",IF(Dados!$C$31=1,SUMIFS(Dados!$F$47:$F$4000,Dados!$C$47:$C$4000,"Cliente",Dados!$D$47:$D$4000,$B34,Dados!$A$47:$A$4000,Dados!$A$31),""))</f>
        <v/>
      </c>
      <c r="E34" s="20">
        <f>IF($B34="","",IF(Dados!$C$32=1,SUMIFS(Dados!$F$47:$F$4000,Dados!$C$47:$C$4000,"Cliente",Dados!$D$47:$D$4000,$B34,Dados!$A$47:$A$4000,Dados!$A$32),""))</f>
        <v/>
      </c>
      <c r="F34" s="20">
        <f>IF($B34="","",IF(Dados!$C$33=1,SUMIFS(Dados!$F$47:$F$4000,Dados!$C$47:$C$4000,"Cliente",Dados!$D$47:$D$4000,$B34,Dados!$A$47:$A$4000,Dados!$A$33),""))</f>
        <v/>
      </c>
      <c r="G34" s="20">
        <f>IF($B34="","",IF(Dados!$C$34=1,SUMIFS(Dados!$F$47:$F$4000,Dados!$C$47:$C$4000,"Cliente",Dados!$D$47:$D$4000,$B34,Dados!$A$47:$A$4000,Dados!$A$34),""))</f>
        <v/>
      </c>
      <c r="H34" s="20">
        <f>IF($B34="","",IF(Dados!$C$35=1,SUMIFS(Dados!$F$47:$F$4000,Dados!$C$47:$C$4000,"Cliente",Dados!$D$47:$D$4000,$B34,Dados!$A$47:$A$4000,Dados!$A$35),""))</f>
        <v/>
      </c>
      <c r="I34" s="20">
        <f>IF($B34="","",IF(Dados!$C$36=1,SUMIFS(Dados!$F$47:$F$4000,Dados!$C$47:$C$4000,"Cliente",Dados!$D$47:$D$4000,$B34,Dados!$A$47:$A$4000,Dados!$A$36),""))</f>
        <v/>
      </c>
      <c r="J34" s="20">
        <f>IF($B34="","",IF(Dados!$C$37=1,SUMIFS(Dados!$F$47:$F$4000,Dados!$C$47:$C$4000,"Cliente",Dados!$D$47:$D$4000,$B34,Dados!$A$47:$A$4000,Dados!$A$37),""))</f>
        <v/>
      </c>
      <c r="K34" s="20">
        <f>IF($B34="","",IF(Dados!$C$38=1,SUMIFS(Dados!$F$47:$F$4000,Dados!$C$47:$C$4000,"Cliente",Dados!$D$47:$D$4000,$B34,Dados!$A$47:$A$4000,Dados!$A$38),""))</f>
        <v/>
      </c>
      <c r="L34" s="20">
        <f>IF($B34="","",IF(Dados!$C$39=1,SUMIFS(Dados!$F$47:$F$4000,Dados!$C$47:$C$4000,"Cliente",Dados!$D$47:$D$4000,$B34,Dados!$A$47:$A$4000,Dados!$A$39),""))</f>
        <v/>
      </c>
      <c r="M34" s="20">
        <f>IF($B34="","",IF(Dados!$C$40=1,SUMIFS(Dados!$F$47:$F$4000,Dados!$C$47:$C$4000,"Cliente",Dados!$D$47:$D$4000,$B34,Dados!$A$47:$A$4000,Dados!$A$40),""))</f>
        <v/>
      </c>
      <c r="N34" s="20">
        <f>IF($B34="","",IF(Dados!$C$41=1,SUMIFS(Dados!$F$47:$F$4000,Dados!$C$47:$C$4000,"Cliente",Dados!$D$47:$D$4000,$B34,Dados!$A$47:$A$4000,Dados!$A$41),""))</f>
        <v/>
      </c>
      <c r="O34" s="20">
        <f>IF($B34="","",SUM(C34:N34))</f>
        <v/>
      </c>
      <c r="P34" s="30">
        <f>IF($B34="","",IFERROR(O34/$O$46,""))</f>
        <v/>
      </c>
      <c r="Q34" s="19">
        <f>IF(N(O34)=0,"",IF(SUM($P$5:P34)-P34&lt;0.8,"A",IF(SUM($P$5:P34)-P34&lt;0.95,"B","C")))</f>
        <v/>
      </c>
      <c r="R34" s="37">
        <f>IF(Dados!$AL$34="","",Dados!$AL$34)</f>
        <v/>
      </c>
      <c r="S34" s="29">
        <f>IF($B34="","",SUMIFS(Dados!$F$47:$F$4000,Dados!$C$47:$C$4000,"Cliente",Dados!$D$47:$D$4000,$B34,Dados!$A$47:$A$4000,"&gt;="&amp;Dados!$A$18,Dados!$A$47:$A$4000,"&lt;="&amp;Dados!$A$29))</f>
        <v/>
      </c>
    </row>
    <row r="35">
      <c r="B35" s="18">
        <f>IF(Dados!$AK$35="","",Dados!$AK$35)</f>
        <v/>
      </c>
      <c r="C35" s="20">
        <f>IF($B35="","",IF(Dados!$C$30=1,SUMIFS(Dados!$F$47:$F$4000,Dados!$C$47:$C$4000,"Cliente",Dados!$D$47:$D$4000,$B35,Dados!$A$47:$A$4000,Dados!$A$30),""))</f>
        <v/>
      </c>
      <c r="D35" s="20">
        <f>IF($B35="","",IF(Dados!$C$31=1,SUMIFS(Dados!$F$47:$F$4000,Dados!$C$47:$C$4000,"Cliente",Dados!$D$47:$D$4000,$B35,Dados!$A$47:$A$4000,Dados!$A$31),""))</f>
        <v/>
      </c>
      <c r="E35" s="20">
        <f>IF($B35="","",IF(Dados!$C$32=1,SUMIFS(Dados!$F$47:$F$4000,Dados!$C$47:$C$4000,"Cliente",Dados!$D$47:$D$4000,$B35,Dados!$A$47:$A$4000,Dados!$A$32),""))</f>
        <v/>
      </c>
      <c r="F35" s="20">
        <f>IF($B35="","",IF(Dados!$C$33=1,SUMIFS(Dados!$F$47:$F$4000,Dados!$C$47:$C$4000,"Cliente",Dados!$D$47:$D$4000,$B35,Dados!$A$47:$A$4000,Dados!$A$33),""))</f>
        <v/>
      </c>
      <c r="G35" s="20">
        <f>IF($B35="","",IF(Dados!$C$34=1,SUMIFS(Dados!$F$47:$F$4000,Dados!$C$47:$C$4000,"Cliente",Dados!$D$47:$D$4000,$B35,Dados!$A$47:$A$4000,Dados!$A$34),""))</f>
        <v/>
      </c>
      <c r="H35" s="20">
        <f>IF($B35="","",IF(Dados!$C$35=1,SUMIFS(Dados!$F$47:$F$4000,Dados!$C$47:$C$4000,"Cliente",Dados!$D$47:$D$4000,$B35,Dados!$A$47:$A$4000,Dados!$A$35),""))</f>
        <v/>
      </c>
      <c r="I35" s="20">
        <f>IF($B35="","",IF(Dados!$C$36=1,SUMIFS(Dados!$F$47:$F$4000,Dados!$C$47:$C$4000,"Cliente",Dados!$D$47:$D$4000,$B35,Dados!$A$47:$A$4000,Dados!$A$36),""))</f>
        <v/>
      </c>
      <c r="J35" s="20">
        <f>IF($B35="","",IF(Dados!$C$37=1,SUMIFS(Dados!$F$47:$F$4000,Dados!$C$47:$C$4000,"Cliente",Dados!$D$47:$D$4000,$B35,Dados!$A$47:$A$4000,Dados!$A$37),""))</f>
        <v/>
      </c>
      <c r="K35" s="20">
        <f>IF($B35="","",IF(Dados!$C$38=1,SUMIFS(Dados!$F$47:$F$4000,Dados!$C$47:$C$4000,"Cliente",Dados!$D$47:$D$4000,$B35,Dados!$A$47:$A$4000,Dados!$A$38),""))</f>
        <v/>
      </c>
      <c r="L35" s="20">
        <f>IF($B35="","",IF(Dados!$C$39=1,SUMIFS(Dados!$F$47:$F$4000,Dados!$C$47:$C$4000,"Cliente",Dados!$D$47:$D$4000,$B35,Dados!$A$47:$A$4000,Dados!$A$39),""))</f>
        <v/>
      </c>
      <c r="M35" s="20">
        <f>IF($B35="","",IF(Dados!$C$40=1,SUMIFS(Dados!$F$47:$F$4000,Dados!$C$47:$C$4000,"Cliente",Dados!$D$47:$D$4000,$B35,Dados!$A$47:$A$4000,Dados!$A$40),""))</f>
        <v/>
      </c>
      <c r="N35" s="20">
        <f>IF($B35="","",IF(Dados!$C$41=1,SUMIFS(Dados!$F$47:$F$4000,Dados!$C$47:$C$4000,"Cliente",Dados!$D$47:$D$4000,$B35,Dados!$A$47:$A$4000,Dados!$A$41),""))</f>
        <v/>
      </c>
      <c r="O35" s="20">
        <f>IF($B35="","",SUM(C35:N35))</f>
        <v/>
      </c>
      <c r="P35" s="30">
        <f>IF($B35="","",IFERROR(O35/$O$46,""))</f>
        <v/>
      </c>
      <c r="Q35" s="19">
        <f>IF(N(O35)=0,"",IF(SUM($P$5:P35)-P35&lt;0.8,"A",IF(SUM($P$5:P35)-P35&lt;0.95,"B","C")))</f>
        <v/>
      </c>
      <c r="R35" s="37">
        <f>IF(Dados!$AL$35="","",Dados!$AL$35)</f>
        <v/>
      </c>
      <c r="S35" s="29">
        <f>IF($B35="","",SUMIFS(Dados!$F$47:$F$4000,Dados!$C$47:$C$4000,"Cliente",Dados!$D$47:$D$4000,$B35,Dados!$A$47:$A$4000,"&gt;="&amp;Dados!$A$18,Dados!$A$47:$A$4000,"&lt;="&amp;Dados!$A$29))</f>
        <v/>
      </c>
    </row>
    <row r="36">
      <c r="B36" s="18">
        <f>IF(Dados!$AK$36="","",Dados!$AK$36)</f>
        <v/>
      </c>
      <c r="C36" s="20">
        <f>IF($B36="","",IF(Dados!$C$30=1,SUMIFS(Dados!$F$47:$F$4000,Dados!$C$47:$C$4000,"Cliente",Dados!$D$47:$D$4000,$B36,Dados!$A$47:$A$4000,Dados!$A$30),""))</f>
        <v/>
      </c>
      <c r="D36" s="20">
        <f>IF($B36="","",IF(Dados!$C$31=1,SUMIFS(Dados!$F$47:$F$4000,Dados!$C$47:$C$4000,"Cliente",Dados!$D$47:$D$4000,$B36,Dados!$A$47:$A$4000,Dados!$A$31),""))</f>
        <v/>
      </c>
      <c r="E36" s="20">
        <f>IF($B36="","",IF(Dados!$C$32=1,SUMIFS(Dados!$F$47:$F$4000,Dados!$C$47:$C$4000,"Cliente",Dados!$D$47:$D$4000,$B36,Dados!$A$47:$A$4000,Dados!$A$32),""))</f>
        <v/>
      </c>
      <c r="F36" s="20">
        <f>IF($B36="","",IF(Dados!$C$33=1,SUMIFS(Dados!$F$47:$F$4000,Dados!$C$47:$C$4000,"Cliente",Dados!$D$47:$D$4000,$B36,Dados!$A$47:$A$4000,Dados!$A$33),""))</f>
        <v/>
      </c>
      <c r="G36" s="20">
        <f>IF($B36="","",IF(Dados!$C$34=1,SUMIFS(Dados!$F$47:$F$4000,Dados!$C$47:$C$4000,"Cliente",Dados!$D$47:$D$4000,$B36,Dados!$A$47:$A$4000,Dados!$A$34),""))</f>
        <v/>
      </c>
      <c r="H36" s="20">
        <f>IF($B36="","",IF(Dados!$C$35=1,SUMIFS(Dados!$F$47:$F$4000,Dados!$C$47:$C$4000,"Cliente",Dados!$D$47:$D$4000,$B36,Dados!$A$47:$A$4000,Dados!$A$35),""))</f>
        <v/>
      </c>
      <c r="I36" s="20">
        <f>IF($B36="","",IF(Dados!$C$36=1,SUMIFS(Dados!$F$47:$F$4000,Dados!$C$47:$C$4000,"Cliente",Dados!$D$47:$D$4000,$B36,Dados!$A$47:$A$4000,Dados!$A$36),""))</f>
        <v/>
      </c>
      <c r="J36" s="20">
        <f>IF($B36="","",IF(Dados!$C$37=1,SUMIFS(Dados!$F$47:$F$4000,Dados!$C$47:$C$4000,"Cliente",Dados!$D$47:$D$4000,$B36,Dados!$A$47:$A$4000,Dados!$A$37),""))</f>
        <v/>
      </c>
      <c r="K36" s="20">
        <f>IF($B36="","",IF(Dados!$C$38=1,SUMIFS(Dados!$F$47:$F$4000,Dados!$C$47:$C$4000,"Cliente",Dados!$D$47:$D$4000,$B36,Dados!$A$47:$A$4000,Dados!$A$38),""))</f>
        <v/>
      </c>
      <c r="L36" s="20">
        <f>IF($B36="","",IF(Dados!$C$39=1,SUMIFS(Dados!$F$47:$F$4000,Dados!$C$47:$C$4000,"Cliente",Dados!$D$47:$D$4000,$B36,Dados!$A$47:$A$4000,Dados!$A$39),""))</f>
        <v/>
      </c>
      <c r="M36" s="20">
        <f>IF($B36="","",IF(Dados!$C$40=1,SUMIFS(Dados!$F$47:$F$4000,Dados!$C$47:$C$4000,"Cliente",Dados!$D$47:$D$4000,$B36,Dados!$A$47:$A$4000,Dados!$A$40),""))</f>
        <v/>
      </c>
      <c r="N36" s="20">
        <f>IF($B36="","",IF(Dados!$C$41=1,SUMIFS(Dados!$F$47:$F$4000,Dados!$C$47:$C$4000,"Cliente",Dados!$D$47:$D$4000,$B36,Dados!$A$47:$A$4000,Dados!$A$41),""))</f>
        <v/>
      </c>
      <c r="O36" s="20">
        <f>IF($B36="","",SUM(C36:N36))</f>
        <v/>
      </c>
      <c r="P36" s="30">
        <f>IF($B36="","",IFERROR(O36/$O$46,""))</f>
        <v/>
      </c>
      <c r="Q36" s="19">
        <f>IF(N(O36)=0,"",IF(SUM($P$5:P36)-P36&lt;0.8,"A",IF(SUM($P$5:P36)-P36&lt;0.95,"B","C")))</f>
        <v/>
      </c>
      <c r="R36" s="37">
        <f>IF(Dados!$AL$36="","",Dados!$AL$36)</f>
        <v/>
      </c>
      <c r="S36" s="29">
        <f>IF($B36="","",SUMIFS(Dados!$F$47:$F$4000,Dados!$C$47:$C$4000,"Cliente",Dados!$D$47:$D$4000,$B36,Dados!$A$47:$A$4000,"&gt;="&amp;Dados!$A$18,Dados!$A$47:$A$4000,"&lt;="&amp;Dados!$A$29))</f>
        <v/>
      </c>
    </row>
    <row r="37">
      <c r="B37" s="18">
        <f>IF(Dados!$AK$37="","",Dados!$AK$37)</f>
        <v/>
      </c>
      <c r="C37" s="20">
        <f>IF($B37="","",IF(Dados!$C$30=1,SUMIFS(Dados!$F$47:$F$4000,Dados!$C$47:$C$4000,"Cliente",Dados!$D$47:$D$4000,$B37,Dados!$A$47:$A$4000,Dados!$A$30),""))</f>
        <v/>
      </c>
      <c r="D37" s="20">
        <f>IF($B37="","",IF(Dados!$C$31=1,SUMIFS(Dados!$F$47:$F$4000,Dados!$C$47:$C$4000,"Cliente",Dados!$D$47:$D$4000,$B37,Dados!$A$47:$A$4000,Dados!$A$31),""))</f>
        <v/>
      </c>
      <c r="E37" s="20">
        <f>IF($B37="","",IF(Dados!$C$32=1,SUMIFS(Dados!$F$47:$F$4000,Dados!$C$47:$C$4000,"Cliente",Dados!$D$47:$D$4000,$B37,Dados!$A$47:$A$4000,Dados!$A$32),""))</f>
        <v/>
      </c>
      <c r="F37" s="20">
        <f>IF($B37="","",IF(Dados!$C$33=1,SUMIFS(Dados!$F$47:$F$4000,Dados!$C$47:$C$4000,"Cliente",Dados!$D$47:$D$4000,$B37,Dados!$A$47:$A$4000,Dados!$A$33),""))</f>
        <v/>
      </c>
      <c r="G37" s="20">
        <f>IF($B37="","",IF(Dados!$C$34=1,SUMIFS(Dados!$F$47:$F$4000,Dados!$C$47:$C$4000,"Cliente",Dados!$D$47:$D$4000,$B37,Dados!$A$47:$A$4000,Dados!$A$34),""))</f>
        <v/>
      </c>
      <c r="H37" s="20">
        <f>IF($B37="","",IF(Dados!$C$35=1,SUMIFS(Dados!$F$47:$F$4000,Dados!$C$47:$C$4000,"Cliente",Dados!$D$47:$D$4000,$B37,Dados!$A$47:$A$4000,Dados!$A$35),""))</f>
        <v/>
      </c>
      <c r="I37" s="20">
        <f>IF($B37="","",IF(Dados!$C$36=1,SUMIFS(Dados!$F$47:$F$4000,Dados!$C$47:$C$4000,"Cliente",Dados!$D$47:$D$4000,$B37,Dados!$A$47:$A$4000,Dados!$A$36),""))</f>
        <v/>
      </c>
      <c r="J37" s="20">
        <f>IF($B37="","",IF(Dados!$C$37=1,SUMIFS(Dados!$F$47:$F$4000,Dados!$C$47:$C$4000,"Cliente",Dados!$D$47:$D$4000,$B37,Dados!$A$47:$A$4000,Dados!$A$37),""))</f>
        <v/>
      </c>
      <c r="K37" s="20">
        <f>IF($B37="","",IF(Dados!$C$38=1,SUMIFS(Dados!$F$47:$F$4000,Dados!$C$47:$C$4000,"Cliente",Dados!$D$47:$D$4000,$B37,Dados!$A$47:$A$4000,Dados!$A$38),""))</f>
        <v/>
      </c>
      <c r="L37" s="20">
        <f>IF($B37="","",IF(Dados!$C$39=1,SUMIFS(Dados!$F$47:$F$4000,Dados!$C$47:$C$4000,"Cliente",Dados!$D$47:$D$4000,$B37,Dados!$A$47:$A$4000,Dados!$A$39),""))</f>
        <v/>
      </c>
      <c r="M37" s="20">
        <f>IF($B37="","",IF(Dados!$C$40=1,SUMIFS(Dados!$F$47:$F$4000,Dados!$C$47:$C$4000,"Cliente",Dados!$D$47:$D$4000,$B37,Dados!$A$47:$A$4000,Dados!$A$40),""))</f>
        <v/>
      </c>
      <c r="N37" s="20">
        <f>IF($B37="","",IF(Dados!$C$41=1,SUMIFS(Dados!$F$47:$F$4000,Dados!$C$47:$C$4000,"Cliente",Dados!$D$47:$D$4000,$B37,Dados!$A$47:$A$4000,Dados!$A$41),""))</f>
        <v/>
      </c>
      <c r="O37" s="20">
        <f>IF($B37="","",SUM(C37:N37))</f>
        <v/>
      </c>
      <c r="P37" s="30">
        <f>IF($B37="","",IFERROR(O37/$O$46,""))</f>
        <v/>
      </c>
      <c r="Q37" s="19">
        <f>IF(N(O37)=0,"",IF(SUM($P$5:P37)-P37&lt;0.8,"A",IF(SUM($P$5:P37)-P37&lt;0.95,"B","C")))</f>
        <v/>
      </c>
      <c r="R37" s="37">
        <f>IF(Dados!$AL$37="","",Dados!$AL$37)</f>
        <v/>
      </c>
      <c r="S37" s="29">
        <f>IF($B37="","",SUMIFS(Dados!$F$47:$F$4000,Dados!$C$47:$C$4000,"Cliente",Dados!$D$47:$D$4000,$B37,Dados!$A$47:$A$4000,"&gt;="&amp;Dados!$A$18,Dados!$A$47:$A$4000,"&lt;="&amp;Dados!$A$29))</f>
        <v/>
      </c>
    </row>
    <row r="38">
      <c r="B38" s="18">
        <f>IF(Dados!$AK$38="","",Dados!$AK$38)</f>
        <v/>
      </c>
      <c r="C38" s="20">
        <f>IF($B38="","",IF(Dados!$C$30=1,SUMIFS(Dados!$F$47:$F$4000,Dados!$C$47:$C$4000,"Cliente",Dados!$D$47:$D$4000,$B38,Dados!$A$47:$A$4000,Dados!$A$30),""))</f>
        <v/>
      </c>
      <c r="D38" s="20">
        <f>IF($B38="","",IF(Dados!$C$31=1,SUMIFS(Dados!$F$47:$F$4000,Dados!$C$47:$C$4000,"Cliente",Dados!$D$47:$D$4000,$B38,Dados!$A$47:$A$4000,Dados!$A$31),""))</f>
        <v/>
      </c>
      <c r="E38" s="20">
        <f>IF($B38="","",IF(Dados!$C$32=1,SUMIFS(Dados!$F$47:$F$4000,Dados!$C$47:$C$4000,"Cliente",Dados!$D$47:$D$4000,$B38,Dados!$A$47:$A$4000,Dados!$A$32),""))</f>
        <v/>
      </c>
      <c r="F38" s="20">
        <f>IF($B38="","",IF(Dados!$C$33=1,SUMIFS(Dados!$F$47:$F$4000,Dados!$C$47:$C$4000,"Cliente",Dados!$D$47:$D$4000,$B38,Dados!$A$47:$A$4000,Dados!$A$33),""))</f>
        <v/>
      </c>
      <c r="G38" s="20">
        <f>IF($B38="","",IF(Dados!$C$34=1,SUMIFS(Dados!$F$47:$F$4000,Dados!$C$47:$C$4000,"Cliente",Dados!$D$47:$D$4000,$B38,Dados!$A$47:$A$4000,Dados!$A$34),""))</f>
        <v/>
      </c>
      <c r="H38" s="20">
        <f>IF($B38="","",IF(Dados!$C$35=1,SUMIFS(Dados!$F$47:$F$4000,Dados!$C$47:$C$4000,"Cliente",Dados!$D$47:$D$4000,$B38,Dados!$A$47:$A$4000,Dados!$A$35),""))</f>
        <v/>
      </c>
      <c r="I38" s="20">
        <f>IF($B38="","",IF(Dados!$C$36=1,SUMIFS(Dados!$F$47:$F$4000,Dados!$C$47:$C$4000,"Cliente",Dados!$D$47:$D$4000,$B38,Dados!$A$47:$A$4000,Dados!$A$36),""))</f>
        <v/>
      </c>
      <c r="J38" s="20">
        <f>IF($B38="","",IF(Dados!$C$37=1,SUMIFS(Dados!$F$47:$F$4000,Dados!$C$47:$C$4000,"Cliente",Dados!$D$47:$D$4000,$B38,Dados!$A$47:$A$4000,Dados!$A$37),""))</f>
        <v/>
      </c>
      <c r="K38" s="20">
        <f>IF($B38="","",IF(Dados!$C$38=1,SUMIFS(Dados!$F$47:$F$4000,Dados!$C$47:$C$4000,"Cliente",Dados!$D$47:$D$4000,$B38,Dados!$A$47:$A$4000,Dados!$A$38),""))</f>
        <v/>
      </c>
      <c r="L38" s="20">
        <f>IF($B38="","",IF(Dados!$C$39=1,SUMIFS(Dados!$F$47:$F$4000,Dados!$C$47:$C$4000,"Cliente",Dados!$D$47:$D$4000,$B38,Dados!$A$47:$A$4000,Dados!$A$39),""))</f>
        <v/>
      </c>
      <c r="M38" s="20">
        <f>IF($B38="","",IF(Dados!$C$40=1,SUMIFS(Dados!$F$47:$F$4000,Dados!$C$47:$C$4000,"Cliente",Dados!$D$47:$D$4000,$B38,Dados!$A$47:$A$4000,Dados!$A$40),""))</f>
        <v/>
      </c>
      <c r="N38" s="20">
        <f>IF($B38="","",IF(Dados!$C$41=1,SUMIFS(Dados!$F$47:$F$4000,Dados!$C$47:$C$4000,"Cliente",Dados!$D$47:$D$4000,$B38,Dados!$A$47:$A$4000,Dados!$A$41),""))</f>
        <v/>
      </c>
      <c r="O38" s="20">
        <f>IF($B38="","",SUM(C38:N38))</f>
        <v/>
      </c>
      <c r="P38" s="30">
        <f>IF($B38="","",IFERROR(O38/$O$46,""))</f>
        <v/>
      </c>
      <c r="Q38" s="19">
        <f>IF(N(O38)=0,"",IF(SUM($P$5:P38)-P38&lt;0.8,"A",IF(SUM($P$5:P38)-P38&lt;0.95,"B","C")))</f>
        <v/>
      </c>
      <c r="R38" s="37">
        <f>IF(Dados!$AL$38="","",Dados!$AL$38)</f>
        <v/>
      </c>
      <c r="S38" s="29">
        <f>IF($B38="","",SUMIFS(Dados!$F$47:$F$4000,Dados!$C$47:$C$4000,"Cliente",Dados!$D$47:$D$4000,$B38,Dados!$A$47:$A$4000,"&gt;="&amp;Dados!$A$18,Dados!$A$47:$A$4000,"&lt;="&amp;Dados!$A$29))</f>
        <v/>
      </c>
    </row>
    <row r="39">
      <c r="B39" s="18">
        <f>IF(Dados!$AK$39="","",Dados!$AK$39)</f>
        <v/>
      </c>
      <c r="C39" s="20">
        <f>IF($B39="","",IF(Dados!$C$30=1,SUMIFS(Dados!$F$47:$F$4000,Dados!$C$47:$C$4000,"Cliente",Dados!$D$47:$D$4000,$B39,Dados!$A$47:$A$4000,Dados!$A$30),""))</f>
        <v/>
      </c>
      <c r="D39" s="20">
        <f>IF($B39="","",IF(Dados!$C$31=1,SUMIFS(Dados!$F$47:$F$4000,Dados!$C$47:$C$4000,"Cliente",Dados!$D$47:$D$4000,$B39,Dados!$A$47:$A$4000,Dados!$A$31),""))</f>
        <v/>
      </c>
      <c r="E39" s="20">
        <f>IF($B39="","",IF(Dados!$C$32=1,SUMIFS(Dados!$F$47:$F$4000,Dados!$C$47:$C$4000,"Cliente",Dados!$D$47:$D$4000,$B39,Dados!$A$47:$A$4000,Dados!$A$32),""))</f>
        <v/>
      </c>
      <c r="F39" s="20">
        <f>IF($B39="","",IF(Dados!$C$33=1,SUMIFS(Dados!$F$47:$F$4000,Dados!$C$47:$C$4000,"Cliente",Dados!$D$47:$D$4000,$B39,Dados!$A$47:$A$4000,Dados!$A$33),""))</f>
        <v/>
      </c>
      <c r="G39" s="20">
        <f>IF($B39="","",IF(Dados!$C$34=1,SUMIFS(Dados!$F$47:$F$4000,Dados!$C$47:$C$4000,"Cliente",Dados!$D$47:$D$4000,$B39,Dados!$A$47:$A$4000,Dados!$A$34),""))</f>
        <v/>
      </c>
      <c r="H39" s="20">
        <f>IF($B39="","",IF(Dados!$C$35=1,SUMIFS(Dados!$F$47:$F$4000,Dados!$C$47:$C$4000,"Cliente",Dados!$D$47:$D$4000,$B39,Dados!$A$47:$A$4000,Dados!$A$35),""))</f>
        <v/>
      </c>
      <c r="I39" s="20">
        <f>IF($B39="","",IF(Dados!$C$36=1,SUMIFS(Dados!$F$47:$F$4000,Dados!$C$47:$C$4000,"Cliente",Dados!$D$47:$D$4000,$B39,Dados!$A$47:$A$4000,Dados!$A$36),""))</f>
        <v/>
      </c>
      <c r="J39" s="20">
        <f>IF($B39="","",IF(Dados!$C$37=1,SUMIFS(Dados!$F$47:$F$4000,Dados!$C$47:$C$4000,"Cliente",Dados!$D$47:$D$4000,$B39,Dados!$A$47:$A$4000,Dados!$A$37),""))</f>
        <v/>
      </c>
      <c r="K39" s="20">
        <f>IF($B39="","",IF(Dados!$C$38=1,SUMIFS(Dados!$F$47:$F$4000,Dados!$C$47:$C$4000,"Cliente",Dados!$D$47:$D$4000,$B39,Dados!$A$47:$A$4000,Dados!$A$38),""))</f>
        <v/>
      </c>
      <c r="L39" s="20">
        <f>IF($B39="","",IF(Dados!$C$39=1,SUMIFS(Dados!$F$47:$F$4000,Dados!$C$47:$C$4000,"Cliente",Dados!$D$47:$D$4000,$B39,Dados!$A$47:$A$4000,Dados!$A$39),""))</f>
        <v/>
      </c>
      <c r="M39" s="20">
        <f>IF($B39="","",IF(Dados!$C$40=1,SUMIFS(Dados!$F$47:$F$4000,Dados!$C$47:$C$4000,"Cliente",Dados!$D$47:$D$4000,$B39,Dados!$A$47:$A$4000,Dados!$A$40),""))</f>
        <v/>
      </c>
      <c r="N39" s="20">
        <f>IF($B39="","",IF(Dados!$C$41=1,SUMIFS(Dados!$F$47:$F$4000,Dados!$C$47:$C$4000,"Cliente",Dados!$D$47:$D$4000,$B39,Dados!$A$47:$A$4000,Dados!$A$41),""))</f>
        <v/>
      </c>
      <c r="O39" s="20">
        <f>IF($B39="","",SUM(C39:N39))</f>
        <v/>
      </c>
      <c r="P39" s="30">
        <f>IF($B39="","",IFERROR(O39/$O$46,""))</f>
        <v/>
      </c>
      <c r="Q39" s="19">
        <f>IF(N(O39)=0,"",IF(SUM($P$5:P39)-P39&lt;0.8,"A",IF(SUM($P$5:P39)-P39&lt;0.95,"B","C")))</f>
        <v/>
      </c>
      <c r="R39" s="37">
        <f>IF(Dados!$AL$39="","",Dados!$AL$39)</f>
        <v/>
      </c>
      <c r="S39" s="29">
        <f>IF($B39="","",SUMIFS(Dados!$F$47:$F$4000,Dados!$C$47:$C$4000,"Cliente",Dados!$D$47:$D$4000,$B39,Dados!$A$47:$A$4000,"&gt;="&amp;Dados!$A$18,Dados!$A$47:$A$4000,"&lt;="&amp;Dados!$A$29))</f>
        <v/>
      </c>
    </row>
    <row r="40">
      <c r="B40" s="18">
        <f>IF(Dados!$AK$40="","",Dados!$AK$40)</f>
        <v/>
      </c>
      <c r="C40" s="20">
        <f>IF($B40="","",IF(Dados!$C$30=1,SUMIFS(Dados!$F$47:$F$4000,Dados!$C$47:$C$4000,"Cliente",Dados!$D$47:$D$4000,$B40,Dados!$A$47:$A$4000,Dados!$A$30),""))</f>
        <v/>
      </c>
      <c r="D40" s="20">
        <f>IF($B40="","",IF(Dados!$C$31=1,SUMIFS(Dados!$F$47:$F$4000,Dados!$C$47:$C$4000,"Cliente",Dados!$D$47:$D$4000,$B40,Dados!$A$47:$A$4000,Dados!$A$31),""))</f>
        <v/>
      </c>
      <c r="E40" s="20">
        <f>IF($B40="","",IF(Dados!$C$32=1,SUMIFS(Dados!$F$47:$F$4000,Dados!$C$47:$C$4000,"Cliente",Dados!$D$47:$D$4000,$B40,Dados!$A$47:$A$4000,Dados!$A$32),""))</f>
        <v/>
      </c>
      <c r="F40" s="20">
        <f>IF($B40="","",IF(Dados!$C$33=1,SUMIFS(Dados!$F$47:$F$4000,Dados!$C$47:$C$4000,"Cliente",Dados!$D$47:$D$4000,$B40,Dados!$A$47:$A$4000,Dados!$A$33),""))</f>
        <v/>
      </c>
      <c r="G40" s="20">
        <f>IF($B40="","",IF(Dados!$C$34=1,SUMIFS(Dados!$F$47:$F$4000,Dados!$C$47:$C$4000,"Cliente",Dados!$D$47:$D$4000,$B40,Dados!$A$47:$A$4000,Dados!$A$34),""))</f>
        <v/>
      </c>
      <c r="H40" s="20">
        <f>IF($B40="","",IF(Dados!$C$35=1,SUMIFS(Dados!$F$47:$F$4000,Dados!$C$47:$C$4000,"Cliente",Dados!$D$47:$D$4000,$B40,Dados!$A$47:$A$4000,Dados!$A$35),""))</f>
        <v/>
      </c>
      <c r="I40" s="20">
        <f>IF($B40="","",IF(Dados!$C$36=1,SUMIFS(Dados!$F$47:$F$4000,Dados!$C$47:$C$4000,"Cliente",Dados!$D$47:$D$4000,$B40,Dados!$A$47:$A$4000,Dados!$A$36),""))</f>
        <v/>
      </c>
      <c r="J40" s="20">
        <f>IF($B40="","",IF(Dados!$C$37=1,SUMIFS(Dados!$F$47:$F$4000,Dados!$C$47:$C$4000,"Cliente",Dados!$D$47:$D$4000,$B40,Dados!$A$47:$A$4000,Dados!$A$37),""))</f>
        <v/>
      </c>
      <c r="K40" s="20">
        <f>IF($B40="","",IF(Dados!$C$38=1,SUMIFS(Dados!$F$47:$F$4000,Dados!$C$47:$C$4000,"Cliente",Dados!$D$47:$D$4000,$B40,Dados!$A$47:$A$4000,Dados!$A$38),""))</f>
        <v/>
      </c>
      <c r="L40" s="20">
        <f>IF($B40="","",IF(Dados!$C$39=1,SUMIFS(Dados!$F$47:$F$4000,Dados!$C$47:$C$4000,"Cliente",Dados!$D$47:$D$4000,$B40,Dados!$A$47:$A$4000,Dados!$A$39),""))</f>
        <v/>
      </c>
      <c r="M40" s="20">
        <f>IF($B40="","",IF(Dados!$C$40=1,SUMIFS(Dados!$F$47:$F$4000,Dados!$C$47:$C$4000,"Cliente",Dados!$D$47:$D$4000,$B40,Dados!$A$47:$A$4000,Dados!$A$40),""))</f>
        <v/>
      </c>
      <c r="N40" s="20">
        <f>IF($B40="","",IF(Dados!$C$41=1,SUMIFS(Dados!$F$47:$F$4000,Dados!$C$47:$C$4000,"Cliente",Dados!$D$47:$D$4000,$B40,Dados!$A$47:$A$4000,Dados!$A$41),""))</f>
        <v/>
      </c>
      <c r="O40" s="20">
        <f>IF($B40="","",SUM(C40:N40))</f>
        <v/>
      </c>
      <c r="P40" s="30">
        <f>IF($B40="","",IFERROR(O40/$O$46,""))</f>
        <v/>
      </c>
      <c r="Q40" s="19">
        <f>IF(N(O40)=0,"",IF(SUM($P$5:P40)-P40&lt;0.8,"A",IF(SUM($P$5:P40)-P40&lt;0.95,"B","C")))</f>
        <v/>
      </c>
      <c r="R40" s="37">
        <f>IF(Dados!$AL$40="","",Dados!$AL$40)</f>
        <v/>
      </c>
      <c r="S40" s="29">
        <f>IF($B40="","",SUMIFS(Dados!$F$47:$F$4000,Dados!$C$47:$C$4000,"Cliente",Dados!$D$47:$D$4000,$B40,Dados!$A$47:$A$4000,"&gt;="&amp;Dados!$A$18,Dados!$A$47:$A$4000,"&lt;="&amp;Dados!$A$29))</f>
        <v/>
      </c>
    </row>
    <row r="41">
      <c r="B41" s="18">
        <f>IF(Dados!$AK$41="","",Dados!$AK$41)</f>
        <v/>
      </c>
      <c r="C41" s="20">
        <f>IF($B41="","",IF(Dados!$C$30=1,SUMIFS(Dados!$F$47:$F$4000,Dados!$C$47:$C$4000,"Cliente",Dados!$D$47:$D$4000,$B41,Dados!$A$47:$A$4000,Dados!$A$30),""))</f>
        <v/>
      </c>
      <c r="D41" s="20">
        <f>IF($B41="","",IF(Dados!$C$31=1,SUMIFS(Dados!$F$47:$F$4000,Dados!$C$47:$C$4000,"Cliente",Dados!$D$47:$D$4000,$B41,Dados!$A$47:$A$4000,Dados!$A$31),""))</f>
        <v/>
      </c>
      <c r="E41" s="20">
        <f>IF($B41="","",IF(Dados!$C$32=1,SUMIFS(Dados!$F$47:$F$4000,Dados!$C$47:$C$4000,"Cliente",Dados!$D$47:$D$4000,$B41,Dados!$A$47:$A$4000,Dados!$A$32),""))</f>
        <v/>
      </c>
      <c r="F41" s="20">
        <f>IF($B41="","",IF(Dados!$C$33=1,SUMIFS(Dados!$F$47:$F$4000,Dados!$C$47:$C$4000,"Cliente",Dados!$D$47:$D$4000,$B41,Dados!$A$47:$A$4000,Dados!$A$33),""))</f>
        <v/>
      </c>
      <c r="G41" s="20">
        <f>IF($B41="","",IF(Dados!$C$34=1,SUMIFS(Dados!$F$47:$F$4000,Dados!$C$47:$C$4000,"Cliente",Dados!$D$47:$D$4000,$B41,Dados!$A$47:$A$4000,Dados!$A$34),""))</f>
        <v/>
      </c>
      <c r="H41" s="20">
        <f>IF($B41="","",IF(Dados!$C$35=1,SUMIFS(Dados!$F$47:$F$4000,Dados!$C$47:$C$4000,"Cliente",Dados!$D$47:$D$4000,$B41,Dados!$A$47:$A$4000,Dados!$A$35),""))</f>
        <v/>
      </c>
      <c r="I41" s="20">
        <f>IF($B41="","",IF(Dados!$C$36=1,SUMIFS(Dados!$F$47:$F$4000,Dados!$C$47:$C$4000,"Cliente",Dados!$D$47:$D$4000,$B41,Dados!$A$47:$A$4000,Dados!$A$36),""))</f>
        <v/>
      </c>
      <c r="J41" s="20">
        <f>IF($B41="","",IF(Dados!$C$37=1,SUMIFS(Dados!$F$47:$F$4000,Dados!$C$47:$C$4000,"Cliente",Dados!$D$47:$D$4000,$B41,Dados!$A$47:$A$4000,Dados!$A$37),""))</f>
        <v/>
      </c>
      <c r="K41" s="20">
        <f>IF($B41="","",IF(Dados!$C$38=1,SUMIFS(Dados!$F$47:$F$4000,Dados!$C$47:$C$4000,"Cliente",Dados!$D$47:$D$4000,$B41,Dados!$A$47:$A$4000,Dados!$A$38),""))</f>
        <v/>
      </c>
      <c r="L41" s="20">
        <f>IF($B41="","",IF(Dados!$C$39=1,SUMIFS(Dados!$F$47:$F$4000,Dados!$C$47:$C$4000,"Cliente",Dados!$D$47:$D$4000,$B41,Dados!$A$47:$A$4000,Dados!$A$39),""))</f>
        <v/>
      </c>
      <c r="M41" s="20">
        <f>IF($B41="","",IF(Dados!$C$40=1,SUMIFS(Dados!$F$47:$F$4000,Dados!$C$47:$C$4000,"Cliente",Dados!$D$47:$D$4000,$B41,Dados!$A$47:$A$4000,Dados!$A$40),""))</f>
        <v/>
      </c>
      <c r="N41" s="20">
        <f>IF($B41="","",IF(Dados!$C$41=1,SUMIFS(Dados!$F$47:$F$4000,Dados!$C$47:$C$4000,"Cliente",Dados!$D$47:$D$4000,$B41,Dados!$A$47:$A$4000,Dados!$A$41),""))</f>
        <v/>
      </c>
      <c r="O41" s="20">
        <f>IF($B41="","",SUM(C41:N41))</f>
        <v/>
      </c>
      <c r="P41" s="30">
        <f>IF($B41="","",IFERROR(O41/$O$46,""))</f>
        <v/>
      </c>
      <c r="Q41" s="19">
        <f>IF(N(O41)=0,"",IF(SUM($P$5:P41)-P41&lt;0.8,"A",IF(SUM($P$5:P41)-P41&lt;0.95,"B","C")))</f>
        <v/>
      </c>
      <c r="R41" s="37">
        <f>IF(Dados!$AL$41="","",Dados!$AL$41)</f>
        <v/>
      </c>
      <c r="S41" s="29">
        <f>IF($B41="","",SUMIFS(Dados!$F$47:$F$4000,Dados!$C$47:$C$4000,"Cliente",Dados!$D$47:$D$4000,$B41,Dados!$A$47:$A$4000,"&gt;="&amp;Dados!$A$18,Dados!$A$47:$A$4000,"&lt;="&amp;Dados!$A$29))</f>
        <v/>
      </c>
    </row>
    <row r="42">
      <c r="B42" s="18">
        <f>IF(Dados!$AK$42="","",Dados!$AK$42)</f>
        <v/>
      </c>
      <c r="C42" s="20">
        <f>IF($B42="","",IF(Dados!$C$30=1,SUMIFS(Dados!$F$47:$F$4000,Dados!$C$47:$C$4000,"Cliente",Dados!$D$47:$D$4000,$B42,Dados!$A$47:$A$4000,Dados!$A$30),""))</f>
        <v/>
      </c>
      <c r="D42" s="20">
        <f>IF($B42="","",IF(Dados!$C$31=1,SUMIFS(Dados!$F$47:$F$4000,Dados!$C$47:$C$4000,"Cliente",Dados!$D$47:$D$4000,$B42,Dados!$A$47:$A$4000,Dados!$A$31),""))</f>
        <v/>
      </c>
      <c r="E42" s="20">
        <f>IF($B42="","",IF(Dados!$C$32=1,SUMIFS(Dados!$F$47:$F$4000,Dados!$C$47:$C$4000,"Cliente",Dados!$D$47:$D$4000,$B42,Dados!$A$47:$A$4000,Dados!$A$32),""))</f>
        <v/>
      </c>
      <c r="F42" s="20">
        <f>IF($B42="","",IF(Dados!$C$33=1,SUMIFS(Dados!$F$47:$F$4000,Dados!$C$47:$C$4000,"Cliente",Dados!$D$47:$D$4000,$B42,Dados!$A$47:$A$4000,Dados!$A$33),""))</f>
        <v/>
      </c>
      <c r="G42" s="20">
        <f>IF($B42="","",IF(Dados!$C$34=1,SUMIFS(Dados!$F$47:$F$4000,Dados!$C$47:$C$4000,"Cliente",Dados!$D$47:$D$4000,$B42,Dados!$A$47:$A$4000,Dados!$A$34),""))</f>
        <v/>
      </c>
      <c r="H42" s="20">
        <f>IF($B42="","",IF(Dados!$C$35=1,SUMIFS(Dados!$F$47:$F$4000,Dados!$C$47:$C$4000,"Cliente",Dados!$D$47:$D$4000,$B42,Dados!$A$47:$A$4000,Dados!$A$35),""))</f>
        <v/>
      </c>
      <c r="I42" s="20">
        <f>IF($B42="","",IF(Dados!$C$36=1,SUMIFS(Dados!$F$47:$F$4000,Dados!$C$47:$C$4000,"Cliente",Dados!$D$47:$D$4000,$B42,Dados!$A$47:$A$4000,Dados!$A$36),""))</f>
        <v/>
      </c>
      <c r="J42" s="20">
        <f>IF($B42="","",IF(Dados!$C$37=1,SUMIFS(Dados!$F$47:$F$4000,Dados!$C$47:$C$4000,"Cliente",Dados!$D$47:$D$4000,$B42,Dados!$A$47:$A$4000,Dados!$A$37),""))</f>
        <v/>
      </c>
      <c r="K42" s="20">
        <f>IF($B42="","",IF(Dados!$C$38=1,SUMIFS(Dados!$F$47:$F$4000,Dados!$C$47:$C$4000,"Cliente",Dados!$D$47:$D$4000,$B42,Dados!$A$47:$A$4000,Dados!$A$38),""))</f>
        <v/>
      </c>
      <c r="L42" s="20">
        <f>IF($B42="","",IF(Dados!$C$39=1,SUMIFS(Dados!$F$47:$F$4000,Dados!$C$47:$C$4000,"Cliente",Dados!$D$47:$D$4000,$B42,Dados!$A$47:$A$4000,Dados!$A$39),""))</f>
        <v/>
      </c>
      <c r="M42" s="20">
        <f>IF($B42="","",IF(Dados!$C$40=1,SUMIFS(Dados!$F$47:$F$4000,Dados!$C$47:$C$4000,"Cliente",Dados!$D$47:$D$4000,$B42,Dados!$A$47:$A$4000,Dados!$A$40),""))</f>
        <v/>
      </c>
      <c r="N42" s="20">
        <f>IF($B42="","",IF(Dados!$C$41=1,SUMIFS(Dados!$F$47:$F$4000,Dados!$C$47:$C$4000,"Cliente",Dados!$D$47:$D$4000,$B42,Dados!$A$47:$A$4000,Dados!$A$41),""))</f>
        <v/>
      </c>
      <c r="O42" s="20">
        <f>IF($B42="","",SUM(C42:N42))</f>
        <v/>
      </c>
      <c r="P42" s="30">
        <f>IF($B42="","",IFERROR(O42/$O$46,""))</f>
        <v/>
      </c>
      <c r="Q42" s="19">
        <f>IF(N(O42)=0,"",IF(SUM($P$5:P42)-P42&lt;0.8,"A",IF(SUM($P$5:P42)-P42&lt;0.95,"B","C")))</f>
        <v/>
      </c>
      <c r="R42" s="37">
        <f>IF(Dados!$AL$42="","",Dados!$AL$42)</f>
        <v/>
      </c>
      <c r="S42" s="29">
        <f>IF($B42="","",SUMIFS(Dados!$F$47:$F$4000,Dados!$C$47:$C$4000,"Cliente",Dados!$D$47:$D$4000,$B42,Dados!$A$47:$A$4000,"&gt;="&amp;Dados!$A$18,Dados!$A$47:$A$4000,"&lt;="&amp;Dados!$A$29))</f>
        <v/>
      </c>
    </row>
    <row r="43">
      <c r="B43" s="18">
        <f>IF(Dados!$AK$43="","",Dados!$AK$43)</f>
        <v/>
      </c>
      <c r="C43" s="20">
        <f>IF($B43="","",IF(Dados!$C$30=1,SUMIFS(Dados!$F$47:$F$4000,Dados!$C$47:$C$4000,"Cliente",Dados!$D$47:$D$4000,$B43,Dados!$A$47:$A$4000,Dados!$A$30),""))</f>
        <v/>
      </c>
      <c r="D43" s="20">
        <f>IF($B43="","",IF(Dados!$C$31=1,SUMIFS(Dados!$F$47:$F$4000,Dados!$C$47:$C$4000,"Cliente",Dados!$D$47:$D$4000,$B43,Dados!$A$47:$A$4000,Dados!$A$31),""))</f>
        <v/>
      </c>
      <c r="E43" s="20">
        <f>IF($B43="","",IF(Dados!$C$32=1,SUMIFS(Dados!$F$47:$F$4000,Dados!$C$47:$C$4000,"Cliente",Dados!$D$47:$D$4000,$B43,Dados!$A$47:$A$4000,Dados!$A$32),""))</f>
        <v/>
      </c>
      <c r="F43" s="20">
        <f>IF($B43="","",IF(Dados!$C$33=1,SUMIFS(Dados!$F$47:$F$4000,Dados!$C$47:$C$4000,"Cliente",Dados!$D$47:$D$4000,$B43,Dados!$A$47:$A$4000,Dados!$A$33),""))</f>
        <v/>
      </c>
      <c r="G43" s="20">
        <f>IF($B43="","",IF(Dados!$C$34=1,SUMIFS(Dados!$F$47:$F$4000,Dados!$C$47:$C$4000,"Cliente",Dados!$D$47:$D$4000,$B43,Dados!$A$47:$A$4000,Dados!$A$34),""))</f>
        <v/>
      </c>
      <c r="H43" s="20">
        <f>IF($B43="","",IF(Dados!$C$35=1,SUMIFS(Dados!$F$47:$F$4000,Dados!$C$47:$C$4000,"Cliente",Dados!$D$47:$D$4000,$B43,Dados!$A$47:$A$4000,Dados!$A$35),""))</f>
        <v/>
      </c>
      <c r="I43" s="20">
        <f>IF($B43="","",IF(Dados!$C$36=1,SUMIFS(Dados!$F$47:$F$4000,Dados!$C$47:$C$4000,"Cliente",Dados!$D$47:$D$4000,$B43,Dados!$A$47:$A$4000,Dados!$A$36),""))</f>
        <v/>
      </c>
      <c r="J43" s="20">
        <f>IF($B43="","",IF(Dados!$C$37=1,SUMIFS(Dados!$F$47:$F$4000,Dados!$C$47:$C$4000,"Cliente",Dados!$D$47:$D$4000,$B43,Dados!$A$47:$A$4000,Dados!$A$37),""))</f>
        <v/>
      </c>
      <c r="K43" s="20">
        <f>IF($B43="","",IF(Dados!$C$38=1,SUMIFS(Dados!$F$47:$F$4000,Dados!$C$47:$C$4000,"Cliente",Dados!$D$47:$D$4000,$B43,Dados!$A$47:$A$4000,Dados!$A$38),""))</f>
        <v/>
      </c>
      <c r="L43" s="20">
        <f>IF($B43="","",IF(Dados!$C$39=1,SUMIFS(Dados!$F$47:$F$4000,Dados!$C$47:$C$4000,"Cliente",Dados!$D$47:$D$4000,$B43,Dados!$A$47:$A$4000,Dados!$A$39),""))</f>
        <v/>
      </c>
      <c r="M43" s="20">
        <f>IF($B43="","",IF(Dados!$C$40=1,SUMIFS(Dados!$F$47:$F$4000,Dados!$C$47:$C$4000,"Cliente",Dados!$D$47:$D$4000,$B43,Dados!$A$47:$A$4000,Dados!$A$40),""))</f>
        <v/>
      </c>
      <c r="N43" s="20">
        <f>IF($B43="","",IF(Dados!$C$41=1,SUMIFS(Dados!$F$47:$F$4000,Dados!$C$47:$C$4000,"Cliente",Dados!$D$47:$D$4000,$B43,Dados!$A$47:$A$4000,Dados!$A$41),""))</f>
        <v/>
      </c>
      <c r="O43" s="20">
        <f>IF($B43="","",SUM(C43:N43))</f>
        <v/>
      </c>
      <c r="P43" s="30">
        <f>IF($B43="","",IFERROR(O43/$O$46,""))</f>
        <v/>
      </c>
      <c r="Q43" s="19">
        <f>IF(N(O43)=0,"",IF(SUM($P$5:P43)-P43&lt;0.8,"A",IF(SUM($P$5:P43)-P43&lt;0.95,"B","C")))</f>
        <v/>
      </c>
      <c r="R43" s="37">
        <f>IF(Dados!$AL$43="","",Dados!$AL$43)</f>
        <v/>
      </c>
      <c r="S43" s="29">
        <f>IF($B43="","",SUMIFS(Dados!$F$47:$F$4000,Dados!$C$47:$C$4000,"Cliente",Dados!$D$47:$D$4000,$B43,Dados!$A$47:$A$4000,"&gt;="&amp;Dados!$A$18,Dados!$A$47:$A$4000,"&lt;="&amp;Dados!$A$29))</f>
        <v/>
      </c>
    </row>
    <row r="44">
      <c r="B44" s="18">
        <f>IF(Dados!$AK$44="","",Dados!$AK$44)</f>
        <v/>
      </c>
      <c r="C44" s="20">
        <f>IF($B44="","",IF(Dados!$C$30=1,SUMIFS(Dados!$F$47:$F$4000,Dados!$C$47:$C$4000,"Cliente",Dados!$D$47:$D$4000,$B44,Dados!$A$47:$A$4000,Dados!$A$30),""))</f>
        <v/>
      </c>
      <c r="D44" s="20">
        <f>IF($B44="","",IF(Dados!$C$31=1,SUMIFS(Dados!$F$47:$F$4000,Dados!$C$47:$C$4000,"Cliente",Dados!$D$47:$D$4000,$B44,Dados!$A$47:$A$4000,Dados!$A$31),""))</f>
        <v/>
      </c>
      <c r="E44" s="20">
        <f>IF($B44="","",IF(Dados!$C$32=1,SUMIFS(Dados!$F$47:$F$4000,Dados!$C$47:$C$4000,"Cliente",Dados!$D$47:$D$4000,$B44,Dados!$A$47:$A$4000,Dados!$A$32),""))</f>
        <v/>
      </c>
      <c r="F44" s="20">
        <f>IF($B44="","",IF(Dados!$C$33=1,SUMIFS(Dados!$F$47:$F$4000,Dados!$C$47:$C$4000,"Cliente",Dados!$D$47:$D$4000,$B44,Dados!$A$47:$A$4000,Dados!$A$33),""))</f>
        <v/>
      </c>
      <c r="G44" s="20">
        <f>IF($B44="","",IF(Dados!$C$34=1,SUMIFS(Dados!$F$47:$F$4000,Dados!$C$47:$C$4000,"Cliente",Dados!$D$47:$D$4000,$B44,Dados!$A$47:$A$4000,Dados!$A$34),""))</f>
        <v/>
      </c>
      <c r="H44" s="20">
        <f>IF($B44="","",IF(Dados!$C$35=1,SUMIFS(Dados!$F$47:$F$4000,Dados!$C$47:$C$4000,"Cliente",Dados!$D$47:$D$4000,$B44,Dados!$A$47:$A$4000,Dados!$A$35),""))</f>
        <v/>
      </c>
      <c r="I44" s="20">
        <f>IF($B44="","",IF(Dados!$C$36=1,SUMIFS(Dados!$F$47:$F$4000,Dados!$C$47:$C$4000,"Cliente",Dados!$D$47:$D$4000,$B44,Dados!$A$47:$A$4000,Dados!$A$36),""))</f>
        <v/>
      </c>
      <c r="J44" s="20">
        <f>IF($B44="","",IF(Dados!$C$37=1,SUMIFS(Dados!$F$47:$F$4000,Dados!$C$47:$C$4000,"Cliente",Dados!$D$47:$D$4000,$B44,Dados!$A$47:$A$4000,Dados!$A$37),""))</f>
        <v/>
      </c>
      <c r="K44" s="20">
        <f>IF($B44="","",IF(Dados!$C$38=1,SUMIFS(Dados!$F$47:$F$4000,Dados!$C$47:$C$4000,"Cliente",Dados!$D$47:$D$4000,$B44,Dados!$A$47:$A$4000,Dados!$A$38),""))</f>
        <v/>
      </c>
      <c r="L44" s="20">
        <f>IF($B44="","",IF(Dados!$C$39=1,SUMIFS(Dados!$F$47:$F$4000,Dados!$C$47:$C$4000,"Cliente",Dados!$D$47:$D$4000,$B44,Dados!$A$47:$A$4000,Dados!$A$39),""))</f>
        <v/>
      </c>
      <c r="M44" s="20">
        <f>IF($B44="","",IF(Dados!$C$40=1,SUMIFS(Dados!$F$47:$F$4000,Dados!$C$47:$C$4000,"Cliente",Dados!$D$47:$D$4000,$B44,Dados!$A$47:$A$4000,Dados!$A$40),""))</f>
        <v/>
      </c>
      <c r="N44" s="20">
        <f>IF($B44="","",IF(Dados!$C$41=1,SUMIFS(Dados!$F$47:$F$4000,Dados!$C$47:$C$4000,"Cliente",Dados!$D$47:$D$4000,$B44,Dados!$A$47:$A$4000,Dados!$A$41),""))</f>
        <v/>
      </c>
      <c r="O44" s="20">
        <f>IF($B44="","",SUM(C44:N44))</f>
        <v/>
      </c>
      <c r="P44" s="30">
        <f>IF($B44="","",IFERROR(O44/$O$46,""))</f>
        <v/>
      </c>
      <c r="Q44" s="19">
        <f>IF(N(O44)=0,"",IF(SUM($P$5:P44)-P44&lt;0.8,"A",IF(SUM($P$5:P44)-P44&lt;0.95,"B","C")))</f>
        <v/>
      </c>
      <c r="R44" s="37">
        <f>IF(Dados!$AL$44="","",Dados!$AL$44)</f>
        <v/>
      </c>
      <c r="S44" s="29">
        <f>IF($B44="","",SUMIFS(Dados!$F$47:$F$4000,Dados!$C$47:$C$4000,"Cliente",Dados!$D$47:$D$4000,$B44,Dados!$A$47:$A$4000,"&gt;="&amp;Dados!$A$18,Dados!$A$47:$A$4000,"&lt;="&amp;Dados!$A$29))</f>
        <v/>
      </c>
    </row>
    <row r="45">
      <c r="B45" s="18" t="inlineStr">
        <is>
          <t>Outros</t>
        </is>
      </c>
      <c r="C45" s="20">
        <f>IF(C46="","",ROUND(C46-SUM(C5:C44),2))</f>
        <v/>
      </c>
      <c r="D45" s="20">
        <f>IF(D46="","",ROUND(D46-SUM(D5:D44),2))</f>
        <v/>
      </c>
      <c r="E45" s="20">
        <f>IF(E46="","",ROUND(E46-SUM(E5:E44),2))</f>
        <v/>
      </c>
      <c r="F45" s="20">
        <f>IF(F46="","",ROUND(F46-SUM(F5:F44),2))</f>
        <v/>
      </c>
      <c r="G45" s="20">
        <f>IF(G46="","",ROUND(G46-SUM(G5:G44),2))</f>
        <v/>
      </c>
      <c r="H45" s="20">
        <f>IF(H46="","",ROUND(H46-SUM(H5:H44),2))</f>
        <v/>
      </c>
      <c r="I45" s="20">
        <f>IF(I46="","",ROUND(I46-SUM(I5:I44),2))</f>
        <v/>
      </c>
      <c r="J45" s="20">
        <f>IF(J46="","",ROUND(J46-SUM(J5:J44),2))</f>
        <v/>
      </c>
      <c r="K45" s="20">
        <f>IF(K46="","",ROUND(K46-SUM(K5:K44),2))</f>
        <v/>
      </c>
      <c r="L45" s="20">
        <f>IF(L46="","",ROUND(L46-SUM(L5:L44),2))</f>
        <v/>
      </c>
      <c r="M45" s="20">
        <f>IF(M46="","",ROUND(M46-SUM(M5:M44),2))</f>
        <v/>
      </c>
      <c r="N45" s="20">
        <f>IF(N46="","",ROUND(N46-SUM(N5:N44),2))</f>
        <v/>
      </c>
      <c r="O45" s="20">
        <f>SUM(C45:N45)</f>
        <v/>
      </c>
      <c r="P45" s="30">
        <f>IFERROR(O45/$O$46,"")</f>
        <v/>
      </c>
      <c r="S45" s="29">
        <f>ROUND(S46-SUM(S5:S44),2)</f>
        <v/>
      </c>
    </row>
    <row r="46">
      <c r="B46" s="26" t="inlineStr">
        <is>
          <t>Total</t>
        </is>
      </c>
      <c r="C46" s="27">
        <f>IF(Dados!$C$30=1,SUMIFS(Dados!$F$47:$F$4000,Dados!$C$47:$C$4000,"Cliente",Dados!$A$47:$A$4000,Dados!$A$30),"")</f>
        <v/>
      </c>
      <c r="D46" s="27">
        <f>IF(Dados!$C$31=1,SUMIFS(Dados!$F$47:$F$4000,Dados!$C$47:$C$4000,"Cliente",Dados!$A$47:$A$4000,Dados!$A$31),"")</f>
        <v/>
      </c>
      <c r="E46" s="27">
        <f>IF(Dados!$C$32=1,SUMIFS(Dados!$F$47:$F$4000,Dados!$C$47:$C$4000,"Cliente",Dados!$A$47:$A$4000,Dados!$A$32),"")</f>
        <v/>
      </c>
      <c r="F46" s="27">
        <f>IF(Dados!$C$33=1,SUMIFS(Dados!$F$47:$F$4000,Dados!$C$47:$C$4000,"Cliente",Dados!$A$47:$A$4000,Dados!$A$33),"")</f>
        <v/>
      </c>
      <c r="G46" s="27">
        <f>IF(Dados!$C$34=1,SUMIFS(Dados!$F$47:$F$4000,Dados!$C$47:$C$4000,"Cliente",Dados!$A$47:$A$4000,Dados!$A$34),"")</f>
        <v/>
      </c>
      <c r="H46" s="27">
        <f>IF(Dados!$C$35=1,SUMIFS(Dados!$F$47:$F$4000,Dados!$C$47:$C$4000,"Cliente",Dados!$A$47:$A$4000,Dados!$A$35),"")</f>
        <v/>
      </c>
      <c r="I46" s="27">
        <f>IF(Dados!$C$36=1,SUMIFS(Dados!$F$47:$F$4000,Dados!$C$47:$C$4000,"Cliente",Dados!$A$47:$A$4000,Dados!$A$36),"")</f>
        <v/>
      </c>
      <c r="J46" s="27">
        <f>IF(Dados!$C$37=1,SUMIFS(Dados!$F$47:$F$4000,Dados!$C$47:$C$4000,"Cliente",Dados!$A$47:$A$4000,Dados!$A$37),"")</f>
        <v/>
      </c>
      <c r="K46" s="27">
        <f>IF(Dados!$C$38=1,SUMIFS(Dados!$F$47:$F$4000,Dados!$C$47:$C$4000,"Cliente",Dados!$A$47:$A$4000,Dados!$A$38),"")</f>
        <v/>
      </c>
      <c r="L46" s="27">
        <f>IF(Dados!$C$39=1,SUMIFS(Dados!$F$47:$F$4000,Dados!$C$47:$C$4000,"Cliente",Dados!$A$47:$A$4000,Dados!$A$39),"")</f>
        <v/>
      </c>
      <c r="M46" s="27">
        <f>IF(Dados!$C$40=1,SUMIFS(Dados!$F$47:$F$4000,Dados!$C$47:$C$4000,"Cliente",Dados!$A$47:$A$4000,Dados!$A$40),"")</f>
        <v/>
      </c>
      <c r="N46" s="27">
        <f>IF(Dados!$C$41=1,SUMIFS(Dados!$F$47:$F$4000,Dados!$C$47:$C$4000,"Cliente",Dados!$A$47:$A$4000,Dados!$A$41),"")</f>
        <v/>
      </c>
      <c r="O46" s="27">
        <f>SUM(C46:N46)</f>
        <v/>
      </c>
      <c r="P46" s="35">
        <f>IFERROR(O46/O46,"")</f>
        <v/>
      </c>
      <c r="Q46" s="27" t="n"/>
      <c r="R46" s="27" t="n"/>
      <c r="S46" s="27">
        <f>SUMIFS(Dados!$F$47:$F$4000,Dados!$C$47:$C$4000,"Cliente",Dados!$A$47:$A$4000,"&gt;="&amp;Dados!$A$18,Dados!$A$47:$A$4000,"&lt;="&amp;Dados!$A$29)</f>
        <v/>
      </c>
    </row>
    <row r="48">
      <c r="B48" s="18" t="inlineStr">
        <is>
          <t>Grupos que compraram no ano</t>
        </is>
      </c>
      <c r="C48" s="21">
        <f>Dados!$AI$27</f>
        <v/>
      </c>
    </row>
    <row r="49">
      <c r="B49" s="18" t="inlineStr">
        <is>
          <t>Grupos que compraram pela 1ª vez no ano</t>
        </is>
      </c>
      <c r="C49" s="21">
        <f>Dados!$AI$28</f>
        <v/>
      </c>
    </row>
  </sheetData>
  <conditionalFormatting sqref="C4:N4">
    <cfRule type="expression" priority="1" dxfId="1">
      <formula>COLUMN(C4)-2=Dados!$AI$6</formula>
    </cfRule>
  </conditionalFormatting>
  <conditionalFormatting sqref="Q5:Q44">
    <cfRule type="expression" priority="2" dxfId="4">
      <formula>Q5="A"</formula>
    </cfRule>
  </conditionalFormatting>
  <conditionalFormatting sqref="C5:N46">
    <cfRule type="expression" priority="3" dxfId="3">
      <formula>COLUMN(C5)-2=Dados!$AI$6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&amp;L&amp;"Montserrat"&amp;8 AviZee · Workbook de Fechamento&amp;R&amp;"Montserrat"&amp;8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B2592C"/>
    <outlinePr summaryBelow="1" summaryRight="1"/>
    <pageSetUpPr fitToPage="1"/>
  </sheetPr>
  <dimension ref="B1:L34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6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8.5" customWidth="1" min="9" max="9"/>
    <col width="11.5" customWidth="1" min="10" max="10"/>
    <col width="8.5" customWidth="1" min="11" max="11"/>
    <col width="11.5" customWidth="1" min="12" max="12"/>
  </cols>
  <sheetData>
    <row r="1" ht="30" customHeight="1">
      <c r="B1" s="24">
        <f>"Faturamento por estado · "&amp;Dados!$AI$7</f>
        <v/>
      </c>
    </row>
    <row r="2" ht="16" customHeight="1">
      <c r="B2" s="3" t="inlineStr">
        <is>
          <t>Estado do cliente na nota de saída, por trimestre · comparação com o mesmo período do ano anterior · R$</t>
        </is>
      </c>
    </row>
    <row r="3" ht="8" customHeight="1"/>
    <row r="4" ht="28" customHeight="1">
      <c r="B4" s="16" t="inlineStr">
        <is>
          <t>Estado</t>
        </is>
      </c>
      <c r="C4" s="17" t="inlineStr">
        <is>
          <t>UF</t>
        </is>
      </c>
      <c r="D4" s="17" t="inlineStr">
        <is>
          <t>1º tri</t>
        </is>
      </c>
      <c r="E4" s="17" t="inlineStr">
        <is>
          <t>2º tri</t>
        </is>
      </c>
      <c r="F4" s="17" t="inlineStr">
        <is>
          <t>3º tri</t>
        </is>
      </c>
      <c r="G4" s="17" t="inlineStr">
        <is>
          <t>4º tri</t>
        </is>
      </c>
      <c r="H4" s="17" t="inlineStr">
        <is>
          <t>Ano</t>
        </is>
      </c>
      <c r="I4" s="17" t="inlineStr">
        <is>
          <t>%</t>
        </is>
      </c>
      <c r="J4" s="17">
        <f>"Mesmo período "&amp;(Dados!$AI$7-1)</f>
        <v/>
      </c>
      <c r="K4" s="17" t="inlineStr">
        <is>
          <t>Variação</t>
        </is>
      </c>
      <c r="L4" s="17">
        <f>"Ano "&amp;(Dados!$AI$7-1)</f>
        <v/>
      </c>
    </row>
    <row r="5">
      <c r="B5" s="18">
        <f>IF(Dados!$AO$5="","",Dados!$AO$5)</f>
        <v/>
      </c>
      <c r="C5" s="19">
        <f>IF(Dados!$AN$5="","",Dados!$AN$5)</f>
        <v/>
      </c>
      <c r="D5" s="20">
        <f>IF($C5="","",SUMIFS(Dados!$F$47:$F$4000,Dados!$C$47:$C$4000,"Estado",Dados!$D$47:$D$4000,$C5,Dados!$A$47:$A$4000,"&gt;="&amp;Dados!$A$30,Dados!$A$47:$A$4000,"&lt;="&amp;Dados!$A$32))</f>
        <v/>
      </c>
      <c r="E5" s="20">
        <f>IF($C5="","",SUMIFS(Dados!$F$47:$F$4000,Dados!$C$47:$C$4000,"Estado",Dados!$D$47:$D$4000,$C5,Dados!$A$47:$A$4000,"&gt;="&amp;Dados!$A$33,Dados!$A$47:$A$4000,"&lt;="&amp;Dados!$A$35))</f>
        <v/>
      </c>
      <c r="F5" s="20">
        <f>IF($C5="","",SUMIFS(Dados!$F$47:$F$4000,Dados!$C$47:$C$4000,"Estado",Dados!$D$47:$D$4000,$C5,Dados!$A$47:$A$4000,"&gt;="&amp;Dados!$A$36,Dados!$A$47:$A$4000,"&lt;="&amp;Dados!$A$38))</f>
        <v/>
      </c>
      <c r="G5" s="20">
        <f>IF($C5="","",SUMIFS(Dados!$F$47:$F$4000,Dados!$C$47:$C$4000,"Estado",Dados!$D$47:$D$4000,$C5,Dados!$A$47:$A$4000,"&gt;="&amp;Dados!$A$39,Dados!$A$47:$A$4000,"&lt;="&amp;Dados!$A$41))</f>
        <v/>
      </c>
      <c r="H5" s="20">
        <f>IF($C5="","",SUM(D5:G5))</f>
        <v/>
      </c>
      <c r="I5" s="30">
        <f>IF($C5="","",IFERROR(H5/$H$33,""))</f>
        <v/>
      </c>
      <c r="J5" s="29">
        <f>IF($C5="","",SUMIFS(Dados!$F$47:$F$4000,Dados!$C$47:$C$4000,"Estado",Dados!$D$47:$D$4000,$C5,Dados!$A$47:$A$4000,"&gt;="&amp;Dados!$A$18,Dados!$A$47:$A$4000,"&lt;="&amp;EOMONTH(Dados!$AI$5,-12)))</f>
        <v/>
      </c>
      <c r="K5" s="30">
        <f>IF($C5="","",IFERROR(H5/J5-1,""))</f>
        <v/>
      </c>
      <c r="L5" s="29">
        <f>IF($C5="","",SUMIFS(Dados!$F$47:$F$4000,Dados!$C$47:$C$4000,"Estado",Dados!$D$47:$D$4000,$C5,Dados!$A$47:$A$4000,"&gt;="&amp;Dados!$A$18,Dados!$A$47:$A$4000,"&lt;="&amp;Dados!$A$29))</f>
        <v/>
      </c>
    </row>
    <row r="6">
      <c r="B6" s="18">
        <f>IF(Dados!$AO$6="","",Dados!$AO$6)</f>
        <v/>
      </c>
      <c r="C6" s="19">
        <f>IF(Dados!$AN$6="","",Dados!$AN$6)</f>
        <v/>
      </c>
      <c r="D6" s="20">
        <f>IF($C6="","",SUMIFS(Dados!$F$47:$F$4000,Dados!$C$47:$C$4000,"Estado",Dados!$D$47:$D$4000,$C6,Dados!$A$47:$A$4000,"&gt;="&amp;Dados!$A$30,Dados!$A$47:$A$4000,"&lt;="&amp;Dados!$A$32))</f>
        <v/>
      </c>
      <c r="E6" s="20">
        <f>IF($C6="","",SUMIFS(Dados!$F$47:$F$4000,Dados!$C$47:$C$4000,"Estado",Dados!$D$47:$D$4000,$C6,Dados!$A$47:$A$4000,"&gt;="&amp;Dados!$A$33,Dados!$A$47:$A$4000,"&lt;="&amp;Dados!$A$35))</f>
        <v/>
      </c>
      <c r="F6" s="20">
        <f>IF($C6="","",SUMIFS(Dados!$F$47:$F$4000,Dados!$C$47:$C$4000,"Estado",Dados!$D$47:$D$4000,$C6,Dados!$A$47:$A$4000,"&gt;="&amp;Dados!$A$36,Dados!$A$47:$A$4000,"&lt;="&amp;Dados!$A$38))</f>
        <v/>
      </c>
      <c r="G6" s="20">
        <f>IF($C6="","",SUMIFS(Dados!$F$47:$F$4000,Dados!$C$47:$C$4000,"Estado",Dados!$D$47:$D$4000,$C6,Dados!$A$47:$A$4000,"&gt;="&amp;Dados!$A$39,Dados!$A$47:$A$4000,"&lt;="&amp;Dados!$A$41))</f>
        <v/>
      </c>
      <c r="H6" s="20">
        <f>IF($C6="","",SUM(D6:G6))</f>
        <v/>
      </c>
      <c r="I6" s="30">
        <f>IF($C6="","",IFERROR(H6/$H$33,""))</f>
        <v/>
      </c>
      <c r="J6" s="29">
        <f>IF($C6="","",SUMIFS(Dados!$F$47:$F$4000,Dados!$C$47:$C$4000,"Estado",Dados!$D$47:$D$4000,$C6,Dados!$A$47:$A$4000,"&gt;="&amp;Dados!$A$18,Dados!$A$47:$A$4000,"&lt;="&amp;EOMONTH(Dados!$AI$5,-12)))</f>
        <v/>
      </c>
      <c r="K6" s="30">
        <f>IF($C6="","",IFERROR(H6/J6-1,""))</f>
        <v/>
      </c>
      <c r="L6" s="29">
        <f>IF($C6="","",SUMIFS(Dados!$F$47:$F$4000,Dados!$C$47:$C$4000,"Estado",Dados!$D$47:$D$4000,$C6,Dados!$A$47:$A$4000,"&gt;="&amp;Dados!$A$18,Dados!$A$47:$A$4000,"&lt;="&amp;Dados!$A$29))</f>
        <v/>
      </c>
    </row>
    <row r="7">
      <c r="B7" s="18">
        <f>IF(Dados!$AO$7="","",Dados!$AO$7)</f>
        <v/>
      </c>
      <c r="C7" s="19">
        <f>IF(Dados!$AN$7="","",Dados!$AN$7)</f>
        <v/>
      </c>
      <c r="D7" s="20">
        <f>IF($C7="","",SUMIFS(Dados!$F$47:$F$4000,Dados!$C$47:$C$4000,"Estado",Dados!$D$47:$D$4000,$C7,Dados!$A$47:$A$4000,"&gt;="&amp;Dados!$A$30,Dados!$A$47:$A$4000,"&lt;="&amp;Dados!$A$32))</f>
        <v/>
      </c>
      <c r="E7" s="20">
        <f>IF($C7="","",SUMIFS(Dados!$F$47:$F$4000,Dados!$C$47:$C$4000,"Estado",Dados!$D$47:$D$4000,$C7,Dados!$A$47:$A$4000,"&gt;="&amp;Dados!$A$33,Dados!$A$47:$A$4000,"&lt;="&amp;Dados!$A$35))</f>
        <v/>
      </c>
      <c r="F7" s="20">
        <f>IF($C7="","",SUMIFS(Dados!$F$47:$F$4000,Dados!$C$47:$C$4000,"Estado",Dados!$D$47:$D$4000,$C7,Dados!$A$47:$A$4000,"&gt;="&amp;Dados!$A$36,Dados!$A$47:$A$4000,"&lt;="&amp;Dados!$A$38))</f>
        <v/>
      </c>
      <c r="G7" s="20">
        <f>IF($C7="","",SUMIFS(Dados!$F$47:$F$4000,Dados!$C$47:$C$4000,"Estado",Dados!$D$47:$D$4000,$C7,Dados!$A$47:$A$4000,"&gt;="&amp;Dados!$A$39,Dados!$A$47:$A$4000,"&lt;="&amp;Dados!$A$41))</f>
        <v/>
      </c>
      <c r="H7" s="20">
        <f>IF($C7="","",SUM(D7:G7))</f>
        <v/>
      </c>
      <c r="I7" s="30">
        <f>IF($C7="","",IFERROR(H7/$H$33,""))</f>
        <v/>
      </c>
      <c r="J7" s="29">
        <f>IF($C7="","",SUMIFS(Dados!$F$47:$F$4000,Dados!$C$47:$C$4000,"Estado",Dados!$D$47:$D$4000,$C7,Dados!$A$47:$A$4000,"&gt;="&amp;Dados!$A$18,Dados!$A$47:$A$4000,"&lt;="&amp;EOMONTH(Dados!$AI$5,-12)))</f>
        <v/>
      </c>
      <c r="K7" s="30">
        <f>IF($C7="","",IFERROR(H7/J7-1,""))</f>
        <v/>
      </c>
      <c r="L7" s="29">
        <f>IF($C7="","",SUMIFS(Dados!$F$47:$F$4000,Dados!$C$47:$C$4000,"Estado",Dados!$D$47:$D$4000,$C7,Dados!$A$47:$A$4000,"&gt;="&amp;Dados!$A$18,Dados!$A$47:$A$4000,"&lt;="&amp;Dados!$A$29))</f>
        <v/>
      </c>
    </row>
    <row r="8">
      <c r="B8" s="18">
        <f>IF(Dados!$AO$8="","",Dados!$AO$8)</f>
        <v/>
      </c>
      <c r="C8" s="19">
        <f>IF(Dados!$AN$8="","",Dados!$AN$8)</f>
        <v/>
      </c>
      <c r="D8" s="20">
        <f>IF($C8="","",SUMIFS(Dados!$F$47:$F$4000,Dados!$C$47:$C$4000,"Estado",Dados!$D$47:$D$4000,$C8,Dados!$A$47:$A$4000,"&gt;="&amp;Dados!$A$30,Dados!$A$47:$A$4000,"&lt;="&amp;Dados!$A$32))</f>
        <v/>
      </c>
      <c r="E8" s="20">
        <f>IF($C8="","",SUMIFS(Dados!$F$47:$F$4000,Dados!$C$47:$C$4000,"Estado",Dados!$D$47:$D$4000,$C8,Dados!$A$47:$A$4000,"&gt;="&amp;Dados!$A$33,Dados!$A$47:$A$4000,"&lt;="&amp;Dados!$A$35))</f>
        <v/>
      </c>
      <c r="F8" s="20">
        <f>IF($C8="","",SUMIFS(Dados!$F$47:$F$4000,Dados!$C$47:$C$4000,"Estado",Dados!$D$47:$D$4000,$C8,Dados!$A$47:$A$4000,"&gt;="&amp;Dados!$A$36,Dados!$A$47:$A$4000,"&lt;="&amp;Dados!$A$38))</f>
        <v/>
      </c>
      <c r="G8" s="20">
        <f>IF($C8="","",SUMIFS(Dados!$F$47:$F$4000,Dados!$C$47:$C$4000,"Estado",Dados!$D$47:$D$4000,$C8,Dados!$A$47:$A$4000,"&gt;="&amp;Dados!$A$39,Dados!$A$47:$A$4000,"&lt;="&amp;Dados!$A$41))</f>
        <v/>
      </c>
      <c r="H8" s="20">
        <f>IF($C8="","",SUM(D8:G8))</f>
        <v/>
      </c>
      <c r="I8" s="30">
        <f>IF($C8="","",IFERROR(H8/$H$33,""))</f>
        <v/>
      </c>
      <c r="J8" s="29">
        <f>IF($C8="","",SUMIFS(Dados!$F$47:$F$4000,Dados!$C$47:$C$4000,"Estado",Dados!$D$47:$D$4000,$C8,Dados!$A$47:$A$4000,"&gt;="&amp;Dados!$A$18,Dados!$A$47:$A$4000,"&lt;="&amp;EOMONTH(Dados!$AI$5,-12)))</f>
        <v/>
      </c>
      <c r="K8" s="30">
        <f>IF($C8="","",IFERROR(H8/J8-1,""))</f>
        <v/>
      </c>
      <c r="L8" s="29">
        <f>IF($C8="","",SUMIFS(Dados!$F$47:$F$4000,Dados!$C$47:$C$4000,"Estado",Dados!$D$47:$D$4000,$C8,Dados!$A$47:$A$4000,"&gt;="&amp;Dados!$A$18,Dados!$A$47:$A$4000,"&lt;="&amp;Dados!$A$29))</f>
        <v/>
      </c>
    </row>
    <row r="9">
      <c r="B9" s="18">
        <f>IF(Dados!$AO$9="","",Dados!$AO$9)</f>
        <v/>
      </c>
      <c r="C9" s="19">
        <f>IF(Dados!$AN$9="","",Dados!$AN$9)</f>
        <v/>
      </c>
      <c r="D9" s="20">
        <f>IF($C9="","",SUMIFS(Dados!$F$47:$F$4000,Dados!$C$47:$C$4000,"Estado",Dados!$D$47:$D$4000,$C9,Dados!$A$47:$A$4000,"&gt;="&amp;Dados!$A$30,Dados!$A$47:$A$4000,"&lt;="&amp;Dados!$A$32))</f>
        <v/>
      </c>
      <c r="E9" s="20">
        <f>IF($C9="","",SUMIFS(Dados!$F$47:$F$4000,Dados!$C$47:$C$4000,"Estado",Dados!$D$47:$D$4000,$C9,Dados!$A$47:$A$4000,"&gt;="&amp;Dados!$A$33,Dados!$A$47:$A$4000,"&lt;="&amp;Dados!$A$35))</f>
        <v/>
      </c>
      <c r="F9" s="20">
        <f>IF($C9="","",SUMIFS(Dados!$F$47:$F$4000,Dados!$C$47:$C$4000,"Estado",Dados!$D$47:$D$4000,$C9,Dados!$A$47:$A$4000,"&gt;="&amp;Dados!$A$36,Dados!$A$47:$A$4000,"&lt;="&amp;Dados!$A$38))</f>
        <v/>
      </c>
      <c r="G9" s="20">
        <f>IF($C9="","",SUMIFS(Dados!$F$47:$F$4000,Dados!$C$47:$C$4000,"Estado",Dados!$D$47:$D$4000,$C9,Dados!$A$47:$A$4000,"&gt;="&amp;Dados!$A$39,Dados!$A$47:$A$4000,"&lt;="&amp;Dados!$A$41))</f>
        <v/>
      </c>
      <c r="H9" s="20">
        <f>IF($C9="","",SUM(D9:G9))</f>
        <v/>
      </c>
      <c r="I9" s="30">
        <f>IF($C9="","",IFERROR(H9/$H$33,""))</f>
        <v/>
      </c>
      <c r="J9" s="29">
        <f>IF($C9="","",SUMIFS(Dados!$F$47:$F$4000,Dados!$C$47:$C$4000,"Estado",Dados!$D$47:$D$4000,$C9,Dados!$A$47:$A$4000,"&gt;="&amp;Dados!$A$18,Dados!$A$47:$A$4000,"&lt;="&amp;EOMONTH(Dados!$AI$5,-12)))</f>
        <v/>
      </c>
      <c r="K9" s="30">
        <f>IF($C9="","",IFERROR(H9/J9-1,""))</f>
        <v/>
      </c>
      <c r="L9" s="29">
        <f>IF($C9="","",SUMIFS(Dados!$F$47:$F$4000,Dados!$C$47:$C$4000,"Estado",Dados!$D$47:$D$4000,$C9,Dados!$A$47:$A$4000,"&gt;="&amp;Dados!$A$18,Dados!$A$47:$A$4000,"&lt;="&amp;Dados!$A$29))</f>
        <v/>
      </c>
    </row>
    <row r="10">
      <c r="B10" s="18">
        <f>IF(Dados!$AO$10="","",Dados!$AO$10)</f>
        <v/>
      </c>
      <c r="C10" s="19">
        <f>IF(Dados!$AN$10="","",Dados!$AN$10)</f>
        <v/>
      </c>
      <c r="D10" s="20">
        <f>IF($C10="","",SUMIFS(Dados!$F$47:$F$4000,Dados!$C$47:$C$4000,"Estado",Dados!$D$47:$D$4000,$C10,Dados!$A$47:$A$4000,"&gt;="&amp;Dados!$A$30,Dados!$A$47:$A$4000,"&lt;="&amp;Dados!$A$32))</f>
        <v/>
      </c>
      <c r="E10" s="20">
        <f>IF($C10="","",SUMIFS(Dados!$F$47:$F$4000,Dados!$C$47:$C$4000,"Estado",Dados!$D$47:$D$4000,$C10,Dados!$A$47:$A$4000,"&gt;="&amp;Dados!$A$33,Dados!$A$47:$A$4000,"&lt;="&amp;Dados!$A$35))</f>
        <v/>
      </c>
      <c r="F10" s="20">
        <f>IF($C10="","",SUMIFS(Dados!$F$47:$F$4000,Dados!$C$47:$C$4000,"Estado",Dados!$D$47:$D$4000,$C10,Dados!$A$47:$A$4000,"&gt;="&amp;Dados!$A$36,Dados!$A$47:$A$4000,"&lt;="&amp;Dados!$A$38))</f>
        <v/>
      </c>
      <c r="G10" s="20">
        <f>IF($C10="","",SUMIFS(Dados!$F$47:$F$4000,Dados!$C$47:$C$4000,"Estado",Dados!$D$47:$D$4000,$C10,Dados!$A$47:$A$4000,"&gt;="&amp;Dados!$A$39,Dados!$A$47:$A$4000,"&lt;="&amp;Dados!$A$41))</f>
        <v/>
      </c>
      <c r="H10" s="20">
        <f>IF($C10="","",SUM(D10:G10))</f>
        <v/>
      </c>
      <c r="I10" s="30">
        <f>IF($C10="","",IFERROR(H10/$H$33,""))</f>
        <v/>
      </c>
      <c r="J10" s="29">
        <f>IF($C10="","",SUMIFS(Dados!$F$47:$F$4000,Dados!$C$47:$C$4000,"Estado",Dados!$D$47:$D$4000,$C10,Dados!$A$47:$A$4000,"&gt;="&amp;Dados!$A$18,Dados!$A$47:$A$4000,"&lt;="&amp;EOMONTH(Dados!$AI$5,-12)))</f>
        <v/>
      </c>
      <c r="K10" s="30">
        <f>IF($C10="","",IFERROR(H10/J10-1,""))</f>
        <v/>
      </c>
      <c r="L10" s="29">
        <f>IF($C10="","",SUMIFS(Dados!$F$47:$F$4000,Dados!$C$47:$C$4000,"Estado",Dados!$D$47:$D$4000,$C10,Dados!$A$47:$A$4000,"&gt;="&amp;Dados!$A$18,Dados!$A$47:$A$4000,"&lt;="&amp;Dados!$A$29))</f>
        <v/>
      </c>
    </row>
    <row r="11">
      <c r="B11" s="18">
        <f>IF(Dados!$AO$11="","",Dados!$AO$11)</f>
        <v/>
      </c>
      <c r="C11" s="19">
        <f>IF(Dados!$AN$11="","",Dados!$AN$11)</f>
        <v/>
      </c>
      <c r="D11" s="20">
        <f>IF($C11="","",SUMIFS(Dados!$F$47:$F$4000,Dados!$C$47:$C$4000,"Estado",Dados!$D$47:$D$4000,$C11,Dados!$A$47:$A$4000,"&gt;="&amp;Dados!$A$30,Dados!$A$47:$A$4000,"&lt;="&amp;Dados!$A$32))</f>
        <v/>
      </c>
      <c r="E11" s="20">
        <f>IF($C11="","",SUMIFS(Dados!$F$47:$F$4000,Dados!$C$47:$C$4000,"Estado",Dados!$D$47:$D$4000,$C11,Dados!$A$47:$A$4000,"&gt;="&amp;Dados!$A$33,Dados!$A$47:$A$4000,"&lt;="&amp;Dados!$A$35))</f>
        <v/>
      </c>
      <c r="F11" s="20">
        <f>IF($C11="","",SUMIFS(Dados!$F$47:$F$4000,Dados!$C$47:$C$4000,"Estado",Dados!$D$47:$D$4000,$C11,Dados!$A$47:$A$4000,"&gt;="&amp;Dados!$A$36,Dados!$A$47:$A$4000,"&lt;="&amp;Dados!$A$38))</f>
        <v/>
      </c>
      <c r="G11" s="20">
        <f>IF($C11="","",SUMIFS(Dados!$F$47:$F$4000,Dados!$C$47:$C$4000,"Estado",Dados!$D$47:$D$4000,$C11,Dados!$A$47:$A$4000,"&gt;="&amp;Dados!$A$39,Dados!$A$47:$A$4000,"&lt;="&amp;Dados!$A$41))</f>
        <v/>
      </c>
      <c r="H11" s="20">
        <f>IF($C11="","",SUM(D11:G11))</f>
        <v/>
      </c>
      <c r="I11" s="30">
        <f>IF($C11="","",IFERROR(H11/$H$33,""))</f>
        <v/>
      </c>
      <c r="J11" s="29">
        <f>IF($C11="","",SUMIFS(Dados!$F$47:$F$4000,Dados!$C$47:$C$4000,"Estado",Dados!$D$47:$D$4000,$C11,Dados!$A$47:$A$4000,"&gt;="&amp;Dados!$A$18,Dados!$A$47:$A$4000,"&lt;="&amp;EOMONTH(Dados!$AI$5,-12)))</f>
        <v/>
      </c>
      <c r="K11" s="30">
        <f>IF($C11="","",IFERROR(H11/J11-1,""))</f>
        <v/>
      </c>
      <c r="L11" s="29">
        <f>IF($C11="","",SUMIFS(Dados!$F$47:$F$4000,Dados!$C$47:$C$4000,"Estado",Dados!$D$47:$D$4000,$C11,Dados!$A$47:$A$4000,"&gt;="&amp;Dados!$A$18,Dados!$A$47:$A$4000,"&lt;="&amp;Dados!$A$29))</f>
        <v/>
      </c>
    </row>
    <row r="12">
      <c r="B12" s="18">
        <f>IF(Dados!$AO$12="","",Dados!$AO$12)</f>
        <v/>
      </c>
      <c r="C12" s="19">
        <f>IF(Dados!$AN$12="","",Dados!$AN$12)</f>
        <v/>
      </c>
      <c r="D12" s="20">
        <f>IF($C12="","",SUMIFS(Dados!$F$47:$F$4000,Dados!$C$47:$C$4000,"Estado",Dados!$D$47:$D$4000,$C12,Dados!$A$47:$A$4000,"&gt;="&amp;Dados!$A$30,Dados!$A$47:$A$4000,"&lt;="&amp;Dados!$A$32))</f>
        <v/>
      </c>
      <c r="E12" s="20">
        <f>IF($C12="","",SUMIFS(Dados!$F$47:$F$4000,Dados!$C$47:$C$4000,"Estado",Dados!$D$47:$D$4000,$C12,Dados!$A$47:$A$4000,"&gt;="&amp;Dados!$A$33,Dados!$A$47:$A$4000,"&lt;="&amp;Dados!$A$35))</f>
        <v/>
      </c>
      <c r="F12" s="20">
        <f>IF($C12="","",SUMIFS(Dados!$F$47:$F$4000,Dados!$C$47:$C$4000,"Estado",Dados!$D$47:$D$4000,$C12,Dados!$A$47:$A$4000,"&gt;="&amp;Dados!$A$36,Dados!$A$47:$A$4000,"&lt;="&amp;Dados!$A$38))</f>
        <v/>
      </c>
      <c r="G12" s="20">
        <f>IF($C12="","",SUMIFS(Dados!$F$47:$F$4000,Dados!$C$47:$C$4000,"Estado",Dados!$D$47:$D$4000,$C12,Dados!$A$47:$A$4000,"&gt;="&amp;Dados!$A$39,Dados!$A$47:$A$4000,"&lt;="&amp;Dados!$A$41))</f>
        <v/>
      </c>
      <c r="H12" s="20">
        <f>IF($C12="","",SUM(D12:G12))</f>
        <v/>
      </c>
      <c r="I12" s="30">
        <f>IF($C12="","",IFERROR(H12/$H$33,""))</f>
        <v/>
      </c>
      <c r="J12" s="29">
        <f>IF($C12="","",SUMIFS(Dados!$F$47:$F$4000,Dados!$C$47:$C$4000,"Estado",Dados!$D$47:$D$4000,$C12,Dados!$A$47:$A$4000,"&gt;="&amp;Dados!$A$18,Dados!$A$47:$A$4000,"&lt;="&amp;EOMONTH(Dados!$AI$5,-12)))</f>
        <v/>
      </c>
      <c r="K12" s="30">
        <f>IF($C12="","",IFERROR(H12/J12-1,""))</f>
        <v/>
      </c>
      <c r="L12" s="29">
        <f>IF($C12="","",SUMIFS(Dados!$F$47:$F$4000,Dados!$C$47:$C$4000,"Estado",Dados!$D$47:$D$4000,$C12,Dados!$A$47:$A$4000,"&gt;="&amp;Dados!$A$18,Dados!$A$47:$A$4000,"&lt;="&amp;Dados!$A$29))</f>
        <v/>
      </c>
    </row>
    <row r="13">
      <c r="B13" s="18">
        <f>IF(Dados!$AO$13="","",Dados!$AO$13)</f>
        <v/>
      </c>
      <c r="C13" s="19">
        <f>IF(Dados!$AN$13="","",Dados!$AN$13)</f>
        <v/>
      </c>
      <c r="D13" s="20">
        <f>IF($C13="","",SUMIFS(Dados!$F$47:$F$4000,Dados!$C$47:$C$4000,"Estado",Dados!$D$47:$D$4000,$C13,Dados!$A$47:$A$4000,"&gt;="&amp;Dados!$A$30,Dados!$A$47:$A$4000,"&lt;="&amp;Dados!$A$32))</f>
        <v/>
      </c>
      <c r="E13" s="20">
        <f>IF($C13="","",SUMIFS(Dados!$F$47:$F$4000,Dados!$C$47:$C$4000,"Estado",Dados!$D$47:$D$4000,$C13,Dados!$A$47:$A$4000,"&gt;="&amp;Dados!$A$33,Dados!$A$47:$A$4000,"&lt;="&amp;Dados!$A$35))</f>
        <v/>
      </c>
      <c r="F13" s="20">
        <f>IF($C13="","",SUMIFS(Dados!$F$47:$F$4000,Dados!$C$47:$C$4000,"Estado",Dados!$D$47:$D$4000,$C13,Dados!$A$47:$A$4000,"&gt;="&amp;Dados!$A$36,Dados!$A$47:$A$4000,"&lt;="&amp;Dados!$A$38))</f>
        <v/>
      </c>
      <c r="G13" s="20">
        <f>IF($C13="","",SUMIFS(Dados!$F$47:$F$4000,Dados!$C$47:$C$4000,"Estado",Dados!$D$47:$D$4000,$C13,Dados!$A$47:$A$4000,"&gt;="&amp;Dados!$A$39,Dados!$A$47:$A$4000,"&lt;="&amp;Dados!$A$41))</f>
        <v/>
      </c>
      <c r="H13" s="20">
        <f>IF($C13="","",SUM(D13:G13))</f>
        <v/>
      </c>
      <c r="I13" s="30">
        <f>IF($C13="","",IFERROR(H13/$H$33,""))</f>
        <v/>
      </c>
      <c r="J13" s="29">
        <f>IF($C13="","",SUMIFS(Dados!$F$47:$F$4000,Dados!$C$47:$C$4000,"Estado",Dados!$D$47:$D$4000,$C13,Dados!$A$47:$A$4000,"&gt;="&amp;Dados!$A$18,Dados!$A$47:$A$4000,"&lt;="&amp;EOMONTH(Dados!$AI$5,-12)))</f>
        <v/>
      </c>
      <c r="K13" s="30">
        <f>IF($C13="","",IFERROR(H13/J13-1,""))</f>
        <v/>
      </c>
      <c r="L13" s="29">
        <f>IF($C13="","",SUMIFS(Dados!$F$47:$F$4000,Dados!$C$47:$C$4000,"Estado",Dados!$D$47:$D$4000,$C13,Dados!$A$47:$A$4000,"&gt;="&amp;Dados!$A$18,Dados!$A$47:$A$4000,"&lt;="&amp;Dados!$A$29))</f>
        <v/>
      </c>
    </row>
    <row r="14">
      <c r="B14" s="18">
        <f>IF(Dados!$AO$14="","",Dados!$AO$14)</f>
        <v/>
      </c>
      <c r="C14" s="19">
        <f>IF(Dados!$AN$14="","",Dados!$AN$14)</f>
        <v/>
      </c>
      <c r="D14" s="20">
        <f>IF($C14="","",SUMIFS(Dados!$F$47:$F$4000,Dados!$C$47:$C$4000,"Estado",Dados!$D$47:$D$4000,$C14,Dados!$A$47:$A$4000,"&gt;="&amp;Dados!$A$30,Dados!$A$47:$A$4000,"&lt;="&amp;Dados!$A$32))</f>
        <v/>
      </c>
      <c r="E14" s="20">
        <f>IF($C14="","",SUMIFS(Dados!$F$47:$F$4000,Dados!$C$47:$C$4000,"Estado",Dados!$D$47:$D$4000,$C14,Dados!$A$47:$A$4000,"&gt;="&amp;Dados!$A$33,Dados!$A$47:$A$4000,"&lt;="&amp;Dados!$A$35))</f>
        <v/>
      </c>
      <c r="F14" s="20">
        <f>IF($C14="","",SUMIFS(Dados!$F$47:$F$4000,Dados!$C$47:$C$4000,"Estado",Dados!$D$47:$D$4000,$C14,Dados!$A$47:$A$4000,"&gt;="&amp;Dados!$A$36,Dados!$A$47:$A$4000,"&lt;="&amp;Dados!$A$38))</f>
        <v/>
      </c>
      <c r="G14" s="20">
        <f>IF($C14="","",SUMIFS(Dados!$F$47:$F$4000,Dados!$C$47:$C$4000,"Estado",Dados!$D$47:$D$4000,$C14,Dados!$A$47:$A$4000,"&gt;="&amp;Dados!$A$39,Dados!$A$47:$A$4000,"&lt;="&amp;Dados!$A$41))</f>
        <v/>
      </c>
      <c r="H14" s="20">
        <f>IF($C14="","",SUM(D14:G14))</f>
        <v/>
      </c>
      <c r="I14" s="30">
        <f>IF($C14="","",IFERROR(H14/$H$33,""))</f>
        <v/>
      </c>
      <c r="J14" s="29">
        <f>IF($C14="","",SUMIFS(Dados!$F$47:$F$4000,Dados!$C$47:$C$4000,"Estado",Dados!$D$47:$D$4000,$C14,Dados!$A$47:$A$4000,"&gt;="&amp;Dados!$A$18,Dados!$A$47:$A$4000,"&lt;="&amp;EOMONTH(Dados!$AI$5,-12)))</f>
        <v/>
      </c>
      <c r="K14" s="30">
        <f>IF($C14="","",IFERROR(H14/J14-1,""))</f>
        <v/>
      </c>
      <c r="L14" s="29">
        <f>IF($C14="","",SUMIFS(Dados!$F$47:$F$4000,Dados!$C$47:$C$4000,"Estado",Dados!$D$47:$D$4000,$C14,Dados!$A$47:$A$4000,"&gt;="&amp;Dados!$A$18,Dados!$A$47:$A$4000,"&lt;="&amp;Dados!$A$29))</f>
        <v/>
      </c>
    </row>
    <row r="15">
      <c r="B15" s="18">
        <f>IF(Dados!$AO$15="","",Dados!$AO$15)</f>
        <v/>
      </c>
      <c r="C15" s="19">
        <f>IF(Dados!$AN$15="","",Dados!$AN$15)</f>
        <v/>
      </c>
      <c r="D15" s="20">
        <f>IF($C15="","",SUMIFS(Dados!$F$47:$F$4000,Dados!$C$47:$C$4000,"Estado",Dados!$D$47:$D$4000,$C15,Dados!$A$47:$A$4000,"&gt;="&amp;Dados!$A$30,Dados!$A$47:$A$4000,"&lt;="&amp;Dados!$A$32))</f>
        <v/>
      </c>
      <c r="E15" s="20">
        <f>IF($C15="","",SUMIFS(Dados!$F$47:$F$4000,Dados!$C$47:$C$4000,"Estado",Dados!$D$47:$D$4000,$C15,Dados!$A$47:$A$4000,"&gt;="&amp;Dados!$A$33,Dados!$A$47:$A$4000,"&lt;="&amp;Dados!$A$35))</f>
        <v/>
      </c>
      <c r="F15" s="20">
        <f>IF($C15="","",SUMIFS(Dados!$F$47:$F$4000,Dados!$C$47:$C$4000,"Estado",Dados!$D$47:$D$4000,$C15,Dados!$A$47:$A$4000,"&gt;="&amp;Dados!$A$36,Dados!$A$47:$A$4000,"&lt;="&amp;Dados!$A$38))</f>
        <v/>
      </c>
      <c r="G15" s="20">
        <f>IF($C15="","",SUMIFS(Dados!$F$47:$F$4000,Dados!$C$47:$C$4000,"Estado",Dados!$D$47:$D$4000,$C15,Dados!$A$47:$A$4000,"&gt;="&amp;Dados!$A$39,Dados!$A$47:$A$4000,"&lt;="&amp;Dados!$A$41))</f>
        <v/>
      </c>
      <c r="H15" s="20">
        <f>IF($C15="","",SUM(D15:G15))</f>
        <v/>
      </c>
      <c r="I15" s="30">
        <f>IF($C15="","",IFERROR(H15/$H$33,""))</f>
        <v/>
      </c>
      <c r="J15" s="29">
        <f>IF($C15="","",SUMIFS(Dados!$F$47:$F$4000,Dados!$C$47:$C$4000,"Estado",Dados!$D$47:$D$4000,$C15,Dados!$A$47:$A$4000,"&gt;="&amp;Dados!$A$18,Dados!$A$47:$A$4000,"&lt;="&amp;EOMONTH(Dados!$AI$5,-12)))</f>
        <v/>
      </c>
      <c r="K15" s="30">
        <f>IF($C15="","",IFERROR(H15/J15-1,""))</f>
        <v/>
      </c>
      <c r="L15" s="29">
        <f>IF($C15="","",SUMIFS(Dados!$F$47:$F$4000,Dados!$C$47:$C$4000,"Estado",Dados!$D$47:$D$4000,$C15,Dados!$A$47:$A$4000,"&gt;="&amp;Dados!$A$18,Dados!$A$47:$A$4000,"&lt;="&amp;Dados!$A$29))</f>
        <v/>
      </c>
    </row>
    <row r="16">
      <c r="B16" s="18">
        <f>IF(Dados!$AO$16="","",Dados!$AO$16)</f>
        <v/>
      </c>
      <c r="C16" s="19">
        <f>IF(Dados!$AN$16="","",Dados!$AN$16)</f>
        <v/>
      </c>
      <c r="D16" s="20">
        <f>IF($C16="","",SUMIFS(Dados!$F$47:$F$4000,Dados!$C$47:$C$4000,"Estado",Dados!$D$47:$D$4000,$C16,Dados!$A$47:$A$4000,"&gt;="&amp;Dados!$A$30,Dados!$A$47:$A$4000,"&lt;="&amp;Dados!$A$32))</f>
        <v/>
      </c>
      <c r="E16" s="20">
        <f>IF($C16="","",SUMIFS(Dados!$F$47:$F$4000,Dados!$C$47:$C$4000,"Estado",Dados!$D$47:$D$4000,$C16,Dados!$A$47:$A$4000,"&gt;="&amp;Dados!$A$33,Dados!$A$47:$A$4000,"&lt;="&amp;Dados!$A$35))</f>
        <v/>
      </c>
      <c r="F16" s="20">
        <f>IF($C16="","",SUMIFS(Dados!$F$47:$F$4000,Dados!$C$47:$C$4000,"Estado",Dados!$D$47:$D$4000,$C16,Dados!$A$47:$A$4000,"&gt;="&amp;Dados!$A$36,Dados!$A$47:$A$4000,"&lt;="&amp;Dados!$A$38))</f>
        <v/>
      </c>
      <c r="G16" s="20">
        <f>IF($C16="","",SUMIFS(Dados!$F$47:$F$4000,Dados!$C$47:$C$4000,"Estado",Dados!$D$47:$D$4000,$C16,Dados!$A$47:$A$4000,"&gt;="&amp;Dados!$A$39,Dados!$A$47:$A$4000,"&lt;="&amp;Dados!$A$41))</f>
        <v/>
      </c>
      <c r="H16" s="20">
        <f>IF($C16="","",SUM(D16:G16))</f>
        <v/>
      </c>
      <c r="I16" s="30">
        <f>IF($C16="","",IFERROR(H16/$H$33,""))</f>
        <v/>
      </c>
      <c r="J16" s="29">
        <f>IF($C16="","",SUMIFS(Dados!$F$47:$F$4000,Dados!$C$47:$C$4000,"Estado",Dados!$D$47:$D$4000,$C16,Dados!$A$47:$A$4000,"&gt;="&amp;Dados!$A$18,Dados!$A$47:$A$4000,"&lt;="&amp;EOMONTH(Dados!$AI$5,-12)))</f>
        <v/>
      </c>
      <c r="K16" s="30">
        <f>IF($C16="","",IFERROR(H16/J16-1,""))</f>
        <v/>
      </c>
      <c r="L16" s="29">
        <f>IF($C16="","",SUMIFS(Dados!$F$47:$F$4000,Dados!$C$47:$C$4000,"Estado",Dados!$D$47:$D$4000,$C16,Dados!$A$47:$A$4000,"&gt;="&amp;Dados!$A$18,Dados!$A$47:$A$4000,"&lt;="&amp;Dados!$A$29))</f>
        <v/>
      </c>
    </row>
    <row r="17">
      <c r="B17" s="18">
        <f>IF(Dados!$AO$17="","",Dados!$AO$17)</f>
        <v/>
      </c>
      <c r="C17" s="19">
        <f>IF(Dados!$AN$17="","",Dados!$AN$17)</f>
        <v/>
      </c>
      <c r="D17" s="20">
        <f>IF($C17="","",SUMIFS(Dados!$F$47:$F$4000,Dados!$C$47:$C$4000,"Estado",Dados!$D$47:$D$4000,$C17,Dados!$A$47:$A$4000,"&gt;="&amp;Dados!$A$30,Dados!$A$47:$A$4000,"&lt;="&amp;Dados!$A$32))</f>
        <v/>
      </c>
      <c r="E17" s="20">
        <f>IF($C17="","",SUMIFS(Dados!$F$47:$F$4000,Dados!$C$47:$C$4000,"Estado",Dados!$D$47:$D$4000,$C17,Dados!$A$47:$A$4000,"&gt;="&amp;Dados!$A$33,Dados!$A$47:$A$4000,"&lt;="&amp;Dados!$A$35))</f>
        <v/>
      </c>
      <c r="F17" s="20">
        <f>IF($C17="","",SUMIFS(Dados!$F$47:$F$4000,Dados!$C$47:$C$4000,"Estado",Dados!$D$47:$D$4000,$C17,Dados!$A$47:$A$4000,"&gt;="&amp;Dados!$A$36,Dados!$A$47:$A$4000,"&lt;="&amp;Dados!$A$38))</f>
        <v/>
      </c>
      <c r="G17" s="20">
        <f>IF($C17="","",SUMIFS(Dados!$F$47:$F$4000,Dados!$C$47:$C$4000,"Estado",Dados!$D$47:$D$4000,$C17,Dados!$A$47:$A$4000,"&gt;="&amp;Dados!$A$39,Dados!$A$47:$A$4000,"&lt;="&amp;Dados!$A$41))</f>
        <v/>
      </c>
      <c r="H17" s="20">
        <f>IF($C17="","",SUM(D17:G17))</f>
        <v/>
      </c>
      <c r="I17" s="30">
        <f>IF($C17="","",IFERROR(H17/$H$33,""))</f>
        <v/>
      </c>
      <c r="J17" s="29">
        <f>IF($C17="","",SUMIFS(Dados!$F$47:$F$4000,Dados!$C$47:$C$4000,"Estado",Dados!$D$47:$D$4000,$C17,Dados!$A$47:$A$4000,"&gt;="&amp;Dados!$A$18,Dados!$A$47:$A$4000,"&lt;="&amp;EOMONTH(Dados!$AI$5,-12)))</f>
        <v/>
      </c>
      <c r="K17" s="30">
        <f>IF($C17="","",IFERROR(H17/J17-1,""))</f>
        <v/>
      </c>
      <c r="L17" s="29">
        <f>IF($C17="","",SUMIFS(Dados!$F$47:$F$4000,Dados!$C$47:$C$4000,"Estado",Dados!$D$47:$D$4000,$C17,Dados!$A$47:$A$4000,"&gt;="&amp;Dados!$A$18,Dados!$A$47:$A$4000,"&lt;="&amp;Dados!$A$29))</f>
        <v/>
      </c>
    </row>
    <row r="18">
      <c r="B18" s="18">
        <f>IF(Dados!$AO$18="","",Dados!$AO$18)</f>
        <v/>
      </c>
      <c r="C18" s="19">
        <f>IF(Dados!$AN$18="","",Dados!$AN$18)</f>
        <v/>
      </c>
      <c r="D18" s="20">
        <f>IF($C18="","",SUMIFS(Dados!$F$47:$F$4000,Dados!$C$47:$C$4000,"Estado",Dados!$D$47:$D$4000,$C18,Dados!$A$47:$A$4000,"&gt;="&amp;Dados!$A$30,Dados!$A$47:$A$4000,"&lt;="&amp;Dados!$A$32))</f>
        <v/>
      </c>
      <c r="E18" s="20">
        <f>IF($C18="","",SUMIFS(Dados!$F$47:$F$4000,Dados!$C$47:$C$4000,"Estado",Dados!$D$47:$D$4000,$C18,Dados!$A$47:$A$4000,"&gt;="&amp;Dados!$A$33,Dados!$A$47:$A$4000,"&lt;="&amp;Dados!$A$35))</f>
        <v/>
      </c>
      <c r="F18" s="20">
        <f>IF($C18="","",SUMIFS(Dados!$F$47:$F$4000,Dados!$C$47:$C$4000,"Estado",Dados!$D$47:$D$4000,$C18,Dados!$A$47:$A$4000,"&gt;="&amp;Dados!$A$36,Dados!$A$47:$A$4000,"&lt;="&amp;Dados!$A$38))</f>
        <v/>
      </c>
      <c r="G18" s="20">
        <f>IF($C18="","",SUMIFS(Dados!$F$47:$F$4000,Dados!$C$47:$C$4000,"Estado",Dados!$D$47:$D$4000,$C18,Dados!$A$47:$A$4000,"&gt;="&amp;Dados!$A$39,Dados!$A$47:$A$4000,"&lt;="&amp;Dados!$A$41))</f>
        <v/>
      </c>
      <c r="H18" s="20">
        <f>IF($C18="","",SUM(D18:G18))</f>
        <v/>
      </c>
      <c r="I18" s="30">
        <f>IF($C18="","",IFERROR(H18/$H$33,""))</f>
        <v/>
      </c>
      <c r="J18" s="29">
        <f>IF($C18="","",SUMIFS(Dados!$F$47:$F$4000,Dados!$C$47:$C$4000,"Estado",Dados!$D$47:$D$4000,$C18,Dados!$A$47:$A$4000,"&gt;="&amp;Dados!$A$18,Dados!$A$47:$A$4000,"&lt;="&amp;EOMONTH(Dados!$AI$5,-12)))</f>
        <v/>
      </c>
      <c r="K18" s="30">
        <f>IF($C18="","",IFERROR(H18/J18-1,""))</f>
        <v/>
      </c>
      <c r="L18" s="29">
        <f>IF($C18="","",SUMIFS(Dados!$F$47:$F$4000,Dados!$C$47:$C$4000,"Estado",Dados!$D$47:$D$4000,$C18,Dados!$A$47:$A$4000,"&gt;="&amp;Dados!$A$18,Dados!$A$47:$A$4000,"&lt;="&amp;Dados!$A$29))</f>
        <v/>
      </c>
    </row>
    <row r="19">
      <c r="B19" s="18">
        <f>IF(Dados!$AO$19="","",Dados!$AO$19)</f>
        <v/>
      </c>
      <c r="C19" s="19">
        <f>IF(Dados!$AN$19="","",Dados!$AN$19)</f>
        <v/>
      </c>
      <c r="D19" s="20">
        <f>IF($C19="","",SUMIFS(Dados!$F$47:$F$4000,Dados!$C$47:$C$4000,"Estado",Dados!$D$47:$D$4000,$C19,Dados!$A$47:$A$4000,"&gt;="&amp;Dados!$A$30,Dados!$A$47:$A$4000,"&lt;="&amp;Dados!$A$32))</f>
        <v/>
      </c>
      <c r="E19" s="20">
        <f>IF($C19="","",SUMIFS(Dados!$F$47:$F$4000,Dados!$C$47:$C$4000,"Estado",Dados!$D$47:$D$4000,$C19,Dados!$A$47:$A$4000,"&gt;="&amp;Dados!$A$33,Dados!$A$47:$A$4000,"&lt;="&amp;Dados!$A$35))</f>
        <v/>
      </c>
      <c r="F19" s="20">
        <f>IF($C19="","",SUMIFS(Dados!$F$47:$F$4000,Dados!$C$47:$C$4000,"Estado",Dados!$D$47:$D$4000,$C19,Dados!$A$47:$A$4000,"&gt;="&amp;Dados!$A$36,Dados!$A$47:$A$4000,"&lt;="&amp;Dados!$A$38))</f>
        <v/>
      </c>
      <c r="G19" s="20">
        <f>IF($C19="","",SUMIFS(Dados!$F$47:$F$4000,Dados!$C$47:$C$4000,"Estado",Dados!$D$47:$D$4000,$C19,Dados!$A$47:$A$4000,"&gt;="&amp;Dados!$A$39,Dados!$A$47:$A$4000,"&lt;="&amp;Dados!$A$41))</f>
        <v/>
      </c>
      <c r="H19" s="20">
        <f>IF($C19="","",SUM(D19:G19))</f>
        <v/>
      </c>
      <c r="I19" s="30">
        <f>IF($C19="","",IFERROR(H19/$H$33,""))</f>
        <v/>
      </c>
      <c r="J19" s="29">
        <f>IF($C19="","",SUMIFS(Dados!$F$47:$F$4000,Dados!$C$47:$C$4000,"Estado",Dados!$D$47:$D$4000,$C19,Dados!$A$47:$A$4000,"&gt;="&amp;Dados!$A$18,Dados!$A$47:$A$4000,"&lt;="&amp;EOMONTH(Dados!$AI$5,-12)))</f>
        <v/>
      </c>
      <c r="K19" s="30">
        <f>IF($C19="","",IFERROR(H19/J19-1,""))</f>
        <v/>
      </c>
      <c r="L19" s="29">
        <f>IF($C19="","",SUMIFS(Dados!$F$47:$F$4000,Dados!$C$47:$C$4000,"Estado",Dados!$D$47:$D$4000,$C19,Dados!$A$47:$A$4000,"&gt;="&amp;Dados!$A$18,Dados!$A$47:$A$4000,"&lt;="&amp;Dados!$A$29))</f>
        <v/>
      </c>
    </row>
    <row r="20">
      <c r="B20" s="18">
        <f>IF(Dados!$AO$20="","",Dados!$AO$20)</f>
        <v/>
      </c>
      <c r="C20" s="19">
        <f>IF(Dados!$AN$20="","",Dados!$AN$20)</f>
        <v/>
      </c>
      <c r="D20" s="20">
        <f>IF($C20="","",SUMIFS(Dados!$F$47:$F$4000,Dados!$C$47:$C$4000,"Estado",Dados!$D$47:$D$4000,$C20,Dados!$A$47:$A$4000,"&gt;="&amp;Dados!$A$30,Dados!$A$47:$A$4000,"&lt;="&amp;Dados!$A$32))</f>
        <v/>
      </c>
      <c r="E20" s="20">
        <f>IF($C20="","",SUMIFS(Dados!$F$47:$F$4000,Dados!$C$47:$C$4000,"Estado",Dados!$D$47:$D$4000,$C20,Dados!$A$47:$A$4000,"&gt;="&amp;Dados!$A$33,Dados!$A$47:$A$4000,"&lt;="&amp;Dados!$A$35))</f>
        <v/>
      </c>
      <c r="F20" s="20">
        <f>IF($C20="","",SUMIFS(Dados!$F$47:$F$4000,Dados!$C$47:$C$4000,"Estado",Dados!$D$47:$D$4000,$C20,Dados!$A$47:$A$4000,"&gt;="&amp;Dados!$A$36,Dados!$A$47:$A$4000,"&lt;="&amp;Dados!$A$38))</f>
        <v/>
      </c>
      <c r="G20" s="20">
        <f>IF($C20="","",SUMIFS(Dados!$F$47:$F$4000,Dados!$C$47:$C$4000,"Estado",Dados!$D$47:$D$4000,$C20,Dados!$A$47:$A$4000,"&gt;="&amp;Dados!$A$39,Dados!$A$47:$A$4000,"&lt;="&amp;Dados!$A$41))</f>
        <v/>
      </c>
      <c r="H20" s="20">
        <f>IF($C20="","",SUM(D20:G20))</f>
        <v/>
      </c>
      <c r="I20" s="30">
        <f>IF($C20="","",IFERROR(H20/$H$33,""))</f>
        <v/>
      </c>
      <c r="J20" s="29">
        <f>IF($C20="","",SUMIFS(Dados!$F$47:$F$4000,Dados!$C$47:$C$4000,"Estado",Dados!$D$47:$D$4000,$C20,Dados!$A$47:$A$4000,"&gt;="&amp;Dados!$A$18,Dados!$A$47:$A$4000,"&lt;="&amp;EOMONTH(Dados!$AI$5,-12)))</f>
        <v/>
      </c>
      <c r="K20" s="30">
        <f>IF($C20="","",IFERROR(H20/J20-1,""))</f>
        <v/>
      </c>
      <c r="L20" s="29">
        <f>IF($C20="","",SUMIFS(Dados!$F$47:$F$4000,Dados!$C$47:$C$4000,"Estado",Dados!$D$47:$D$4000,$C20,Dados!$A$47:$A$4000,"&gt;="&amp;Dados!$A$18,Dados!$A$47:$A$4000,"&lt;="&amp;Dados!$A$29))</f>
        <v/>
      </c>
    </row>
    <row r="21">
      <c r="B21" s="18">
        <f>IF(Dados!$AO$21="","",Dados!$AO$21)</f>
        <v/>
      </c>
      <c r="C21" s="19">
        <f>IF(Dados!$AN$21="","",Dados!$AN$21)</f>
        <v/>
      </c>
      <c r="D21" s="20">
        <f>IF($C21="","",SUMIFS(Dados!$F$47:$F$4000,Dados!$C$47:$C$4000,"Estado",Dados!$D$47:$D$4000,$C21,Dados!$A$47:$A$4000,"&gt;="&amp;Dados!$A$30,Dados!$A$47:$A$4000,"&lt;="&amp;Dados!$A$32))</f>
        <v/>
      </c>
      <c r="E21" s="20">
        <f>IF($C21="","",SUMIFS(Dados!$F$47:$F$4000,Dados!$C$47:$C$4000,"Estado",Dados!$D$47:$D$4000,$C21,Dados!$A$47:$A$4000,"&gt;="&amp;Dados!$A$33,Dados!$A$47:$A$4000,"&lt;="&amp;Dados!$A$35))</f>
        <v/>
      </c>
      <c r="F21" s="20">
        <f>IF($C21="","",SUMIFS(Dados!$F$47:$F$4000,Dados!$C$47:$C$4000,"Estado",Dados!$D$47:$D$4000,$C21,Dados!$A$47:$A$4000,"&gt;="&amp;Dados!$A$36,Dados!$A$47:$A$4000,"&lt;="&amp;Dados!$A$38))</f>
        <v/>
      </c>
      <c r="G21" s="20">
        <f>IF($C21="","",SUMIFS(Dados!$F$47:$F$4000,Dados!$C$47:$C$4000,"Estado",Dados!$D$47:$D$4000,$C21,Dados!$A$47:$A$4000,"&gt;="&amp;Dados!$A$39,Dados!$A$47:$A$4000,"&lt;="&amp;Dados!$A$41))</f>
        <v/>
      </c>
      <c r="H21" s="20">
        <f>IF($C21="","",SUM(D21:G21))</f>
        <v/>
      </c>
      <c r="I21" s="30">
        <f>IF($C21="","",IFERROR(H21/$H$33,""))</f>
        <v/>
      </c>
      <c r="J21" s="29">
        <f>IF($C21="","",SUMIFS(Dados!$F$47:$F$4000,Dados!$C$47:$C$4000,"Estado",Dados!$D$47:$D$4000,$C21,Dados!$A$47:$A$4000,"&gt;="&amp;Dados!$A$18,Dados!$A$47:$A$4000,"&lt;="&amp;EOMONTH(Dados!$AI$5,-12)))</f>
        <v/>
      </c>
      <c r="K21" s="30">
        <f>IF($C21="","",IFERROR(H21/J21-1,""))</f>
        <v/>
      </c>
      <c r="L21" s="29">
        <f>IF($C21="","",SUMIFS(Dados!$F$47:$F$4000,Dados!$C$47:$C$4000,"Estado",Dados!$D$47:$D$4000,$C21,Dados!$A$47:$A$4000,"&gt;="&amp;Dados!$A$18,Dados!$A$47:$A$4000,"&lt;="&amp;Dados!$A$29))</f>
        <v/>
      </c>
    </row>
    <row r="22">
      <c r="B22" s="18">
        <f>IF(Dados!$AO$22="","",Dados!$AO$22)</f>
        <v/>
      </c>
      <c r="C22" s="19">
        <f>IF(Dados!$AN$22="","",Dados!$AN$22)</f>
        <v/>
      </c>
      <c r="D22" s="20">
        <f>IF($C22="","",SUMIFS(Dados!$F$47:$F$4000,Dados!$C$47:$C$4000,"Estado",Dados!$D$47:$D$4000,$C22,Dados!$A$47:$A$4000,"&gt;="&amp;Dados!$A$30,Dados!$A$47:$A$4000,"&lt;="&amp;Dados!$A$32))</f>
        <v/>
      </c>
      <c r="E22" s="20">
        <f>IF($C22="","",SUMIFS(Dados!$F$47:$F$4000,Dados!$C$47:$C$4000,"Estado",Dados!$D$47:$D$4000,$C22,Dados!$A$47:$A$4000,"&gt;="&amp;Dados!$A$33,Dados!$A$47:$A$4000,"&lt;="&amp;Dados!$A$35))</f>
        <v/>
      </c>
      <c r="F22" s="20">
        <f>IF($C22="","",SUMIFS(Dados!$F$47:$F$4000,Dados!$C$47:$C$4000,"Estado",Dados!$D$47:$D$4000,$C22,Dados!$A$47:$A$4000,"&gt;="&amp;Dados!$A$36,Dados!$A$47:$A$4000,"&lt;="&amp;Dados!$A$38))</f>
        <v/>
      </c>
      <c r="G22" s="20">
        <f>IF($C22="","",SUMIFS(Dados!$F$47:$F$4000,Dados!$C$47:$C$4000,"Estado",Dados!$D$47:$D$4000,$C22,Dados!$A$47:$A$4000,"&gt;="&amp;Dados!$A$39,Dados!$A$47:$A$4000,"&lt;="&amp;Dados!$A$41))</f>
        <v/>
      </c>
      <c r="H22" s="20">
        <f>IF($C22="","",SUM(D22:G22))</f>
        <v/>
      </c>
      <c r="I22" s="30">
        <f>IF($C22="","",IFERROR(H22/$H$33,""))</f>
        <v/>
      </c>
      <c r="J22" s="29">
        <f>IF($C22="","",SUMIFS(Dados!$F$47:$F$4000,Dados!$C$47:$C$4000,"Estado",Dados!$D$47:$D$4000,$C22,Dados!$A$47:$A$4000,"&gt;="&amp;Dados!$A$18,Dados!$A$47:$A$4000,"&lt;="&amp;EOMONTH(Dados!$AI$5,-12)))</f>
        <v/>
      </c>
      <c r="K22" s="30">
        <f>IF($C22="","",IFERROR(H22/J22-1,""))</f>
        <v/>
      </c>
      <c r="L22" s="29">
        <f>IF($C22="","",SUMIFS(Dados!$F$47:$F$4000,Dados!$C$47:$C$4000,"Estado",Dados!$D$47:$D$4000,$C22,Dados!$A$47:$A$4000,"&gt;="&amp;Dados!$A$18,Dados!$A$47:$A$4000,"&lt;="&amp;Dados!$A$29))</f>
        <v/>
      </c>
    </row>
    <row r="23">
      <c r="B23" s="18">
        <f>IF(Dados!$AO$23="","",Dados!$AO$23)</f>
        <v/>
      </c>
      <c r="C23" s="19">
        <f>IF(Dados!$AN$23="","",Dados!$AN$23)</f>
        <v/>
      </c>
      <c r="D23" s="20">
        <f>IF($C23="","",SUMIFS(Dados!$F$47:$F$4000,Dados!$C$47:$C$4000,"Estado",Dados!$D$47:$D$4000,$C23,Dados!$A$47:$A$4000,"&gt;="&amp;Dados!$A$30,Dados!$A$47:$A$4000,"&lt;="&amp;Dados!$A$32))</f>
        <v/>
      </c>
      <c r="E23" s="20">
        <f>IF($C23="","",SUMIFS(Dados!$F$47:$F$4000,Dados!$C$47:$C$4000,"Estado",Dados!$D$47:$D$4000,$C23,Dados!$A$47:$A$4000,"&gt;="&amp;Dados!$A$33,Dados!$A$47:$A$4000,"&lt;="&amp;Dados!$A$35))</f>
        <v/>
      </c>
      <c r="F23" s="20">
        <f>IF($C23="","",SUMIFS(Dados!$F$47:$F$4000,Dados!$C$47:$C$4000,"Estado",Dados!$D$47:$D$4000,$C23,Dados!$A$47:$A$4000,"&gt;="&amp;Dados!$A$36,Dados!$A$47:$A$4000,"&lt;="&amp;Dados!$A$38))</f>
        <v/>
      </c>
      <c r="G23" s="20">
        <f>IF($C23="","",SUMIFS(Dados!$F$47:$F$4000,Dados!$C$47:$C$4000,"Estado",Dados!$D$47:$D$4000,$C23,Dados!$A$47:$A$4000,"&gt;="&amp;Dados!$A$39,Dados!$A$47:$A$4000,"&lt;="&amp;Dados!$A$41))</f>
        <v/>
      </c>
      <c r="H23" s="20">
        <f>IF($C23="","",SUM(D23:G23))</f>
        <v/>
      </c>
      <c r="I23" s="30">
        <f>IF($C23="","",IFERROR(H23/$H$33,""))</f>
        <v/>
      </c>
      <c r="J23" s="29">
        <f>IF($C23="","",SUMIFS(Dados!$F$47:$F$4000,Dados!$C$47:$C$4000,"Estado",Dados!$D$47:$D$4000,$C23,Dados!$A$47:$A$4000,"&gt;="&amp;Dados!$A$18,Dados!$A$47:$A$4000,"&lt;="&amp;EOMONTH(Dados!$AI$5,-12)))</f>
        <v/>
      </c>
      <c r="K23" s="30">
        <f>IF($C23="","",IFERROR(H23/J23-1,""))</f>
        <v/>
      </c>
      <c r="L23" s="29">
        <f>IF($C23="","",SUMIFS(Dados!$F$47:$F$4000,Dados!$C$47:$C$4000,"Estado",Dados!$D$47:$D$4000,$C23,Dados!$A$47:$A$4000,"&gt;="&amp;Dados!$A$18,Dados!$A$47:$A$4000,"&lt;="&amp;Dados!$A$29))</f>
        <v/>
      </c>
    </row>
    <row r="24">
      <c r="B24" s="18">
        <f>IF(Dados!$AO$24="","",Dados!$AO$24)</f>
        <v/>
      </c>
      <c r="C24" s="19">
        <f>IF(Dados!$AN$24="","",Dados!$AN$24)</f>
        <v/>
      </c>
      <c r="D24" s="20">
        <f>IF($C24="","",SUMIFS(Dados!$F$47:$F$4000,Dados!$C$47:$C$4000,"Estado",Dados!$D$47:$D$4000,$C24,Dados!$A$47:$A$4000,"&gt;="&amp;Dados!$A$30,Dados!$A$47:$A$4000,"&lt;="&amp;Dados!$A$32))</f>
        <v/>
      </c>
      <c r="E24" s="20">
        <f>IF($C24="","",SUMIFS(Dados!$F$47:$F$4000,Dados!$C$47:$C$4000,"Estado",Dados!$D$47:$D$4000,$C24,Dados!$A$47:$A$4000,"&gt;="&amp;Dados!$A$33,Dados!$A$47:$A$4000,"&lt;="&amp;Dados!$A$35))</f>
        <v/>
      </c>
      <c r="F24" s="20">
        <f>IF($C24="","",SUMIFS(Dados!$F$47:$F$4000,Dados!$C$47:$C$4000,"Estado",Dados!$D$47:$D$4000,$C24,Dados!$A$47:$A$4000,"&gt;="&amp;Dados!$A$36,Dados!$A$47:$A$4000,"&lt;="&amp;Dados!$A$38))</f>
        <v/>
      </c>
      <c r="G24" s="20">
        <f>IF($C24="","",SUMIFS(Dados!$F$47:$F$4000,Dados!$C$47:$C$4000,"Estado",Dados!$D$47:$D$4000,$C24,Dados!$A$47:$A$4000,"&gt;="&amp;Dados!$A$39,Dados!$A$47:$A$4000,"&lt;="&amp;Dados!$A$41))</f>
        <v/>
      </c>
      <c r="H24" s="20">
        <f>IF($C24="","",SUM(D24:G24))</f>
        <v/>
      </c>
      <c r="I24" s="30">
        <f>IF($C24="","",IFERROR(H24/$H$33,""))</f>
        <v/>
      </c>
      <c r="J24" s="29">
        <f>IF($C24="","",SUMIFS(Dados!$F$47:$F$4000,Dados!$C$47:$C$4000,"Estado",Dados!$D$47:$D$4000,$C24,Dados!$A$47:$A$4000,"&gt;="&amp;Dados!$A$18,Dados!$A$47:$A$4000,"&lt;="&amp;EOMONTH(Dados!$AI$5,-12)))</f>
        <v/>
      </c>
      <c r="K24" s="30">
        <f>IF($C24="","",IFERROR(H24/J24-1,""))</f>
        <v/>
      </c>
      <c r="L24" s="29">
        <f>IF($C24="","",SUMIFS(Dados!$F$47:$F$4000,Dados!$C$47:$C$4000,"Estado",Dados!$D$47:$D$4000,$C24,Dados!$A$47:$A$4000,"&gt;="&amp;Dados!$A$18,Dados!$A$47:$A$4000,"&lt;="&amp;Dados!$A$29))</f>
        <v/>
      </c>
    </row>
    <row r="25">
      <c r="B25" s="18">
        <f>IF(Dados!$AO$25="","",Dados!$AO$25)</f>
        <v/>
      </c>
      <c r="C25" s="19">
        <f>IF(Dados!$AN$25="","",Dados!$AN$25)</f>
        <v/>
      </c>
      <c r="D25" s="20">
        <f>IF($C25="","",SUMIFS(Dados!$F$47:$F$4000,Dados!$C$47:$C$4000,"Estado",Dados!$D$47:$D$4000,$C25,Dados!$A$47:$A$4000,"&gt;="&amp;Dados!$A$30,Dados!$A$47:$A$4000,"&lt;="&amp;Dados!$A$32))</f>
        <v/>
      </c>
      <c r="E25" s="20">
        <f>IF($C25="","",SUMIFS(Dados!$F$47:$F$4000,Dados!$C$47:$C$4000,"Estado",Dados!$D$47:$D$4000,$C25,Dados!$A$47:$A$4000,"&gt;="&amp;Dados!$A$33,Dados!$A$47:$A$4000,"&lt;="&amp;Dados!$A$35))</f>
        <v/>
      </c>
      <c r="F25" s="20">
        <f>IF($C25="","",SUMIFS(Dados!$F$47:$F$4000,Dados!$C$47:$C$4000,"Estado",Dados!$D$47:$D$4000,$C25,Dados!$A$47:$A$4000,"&gt;="&amp;Dados!$A$36,Dados!$A$47:$A$4000,"&lt;="&amp;Dados!$A$38))</f>
        <v/>
      </c>
      <c r="G25" s="20">
        <f>IF($C25="","",SUMIFS(Dados!$F$47:$F$4000,Dados!$C$47:$C$4000,"Estado",Dados!$D$47:$D$4000,$C25,Dados!$A$47:$A$4000,"&gt;="&amp;Dados!$A$39,Dados!$A$47:$A$4000,"&lt;="&amp;Dados!$A$41))</f>
        <v/>
      </c>
      <c r="H25" s="20">
        <f>IF($C25="","",SUM(D25:G25))</f>
        <v/>
      </c>
      <c r="I25" s="30">
        <f>IF($C25="","",IFERROR(H25/$H$33,""))</f>
        <v/>
      </c>
      <c r="J25" s="29">
        <f>IF($C25="","",SUMIFS(Dados!$F$47:$F$4000,Dados!$C$47:$C$4000,"Estado",Dados!$D$47:$D$4000,$C25,Dados!$A$47:$A$4000,"&gt;="&amp;Dados!$A$18,Dados!$A$47:$A$4000,"&lt;="&amp;EOMONTH(Dados!$AI$5,-12)))</f>
        <v/>
      </c>
      <c r="K25" s="30">
        <f>IF($C25="","",IFERROR(H25/J25-1,""))</f>
        <v/>
      </c>
      <c r="L25" s="29">
        <f>IF($C25="","",SUMIFS(Dados!$F$47:$F$4000,Dados!$C$47:$C$4000,"Estado",Dados!$D$47:$D$4000,$C25,Dados!$A$47:$A$4000,"&gt;="&amp;Dados!$A$18,Dados!$A$47:$A$4000,"&lt;="&amp;Dados!$A$29))</f>
        <v/>
      </c>
    </row>
    <row r="26">
      <c r="B26" s="18">
        <f>IF(Dados!$AO$26="","",Dados!$AO$26)</f>
        <v/>
      </c>
      <c r="C26" s="19">
        <f>IF(Dados!$AN$26="","",Dados!$AN$26)</f>
        <v/>
      </c>
      <c r="D26" s="20">
        <f>IF($C26="","",SUMIFS(Dados!$F$47:$F$4000,Dados!$C$47:$C$4000,"Estado",Dados!$D$47:$D$4000,$C26,Dados!$A$47:$A$4000,"&gt;="&amp;Dados!$A$30,Dados!$A$47:$A$4000,"&lt;="&amp;Dados!$A$32))</f>
        <v/>
      </c>
      <c r="E26" s="20">
        <f>IF($C26="","",SUMIFS(Dados!$F$47:$F$4000,Dados!$C$47:$C$4000,"Estado",Dados!$D$47:$D$4000,$C26,Dados!$A$47:$A$4000,"&gt;="&amp;Dados!$A$33,Dados!$A$47:$A$4000,"&lt;="&amp;Dados!$A$35))</f>
        <v/>
      </c>
      <c r="F26" s="20">
        <f>IF($C26="","",SUMIFS(Dados!$F$47:$F$4000,Dados!$C$47:$C$4000,"Estado",Dados!$D$47:$D$4000,$C26,Dados!$A$47:$A$4000,"&gt;="&amp;Dados!$A$36,Dados!$A$47:$A$4000,"&lt;="&amp;Dados!$A$38))</f>
        <v/>
      </c>
      <c r="G26" s="20">
        <f>IF($C26="","",SUMIFS(Dados!$F$47:$F$4000,Dados!$C$47:$C$4000,"Estado",Dados!$D$47:$D$4000,$C26,Dados!$A$47:$A$4000,"&gt;="&amp;Dados!$A$39,Dados!$A$47:$A$4000,"&lt;="&amp;Dados!$A$41))</f>
        <v/>
      </c>
      <c r="H26" s="20">
        <f>IF($C26="","",SUM(D26:G26))</f>
        <v/>
      </c>
      <c r="I26" s="30">
        <f>IF($C26="","",IFERROR(H26/$H$33,""))</f>
        <v/>
      </c>
      <c r="J26" s="29">
        <f>IF($C26="","",SUMIFS(Dados!$F$47:$F$4000,Dados!$C$47:$C$4000,"Estado",Dados!$D$47:$D$4000,$C26,Dados!$A$47:$A$4000,"&gt;="&amp;Dados!$A$18,Dados!$A$47:$A$4000,"&lt;="&amp;EOMONTH(Dados!$AI$5,-12)))</f>
        <v/>
      </c>
      <c r="K26" s="30">
        <f>IF($C26="","",IFERROR(H26/J26-1,""))</f>
        <v/>
      </c>
      <c r="L26" s="29">
        <f>IF($C26="","",SUMIFS(Dados!$F$47:$F$4000,Dados!$C$47:$C$4000,"Estado",Dados!$D$47:$D$4000,$C26,Dados!$A$47:$A$4000,"&gt;="&amp;Dados!$A$18,Dados!$A$47:$A$4000,"&lt;="&amp;Dados!$A$29))</f>
        <v/>
      </c>
    </row>
    <row r="27">
      <c r="B27" s="18">
        <f>IF(Dados!$AO$27="","",Dados!$AO$27)</f>
        <v/>
      </c>
      <c r="C27" s="19">
        <f>IF(Dados!$AN$27="","",Dados!$AN$27)</f>
        <v/>
      </c>
      <c r="D27" s="20">
        <f>IF($C27="","",SUMIFS(Dados!$F$47:$F$4000,Dados!$C$47:$C$4000,"Estado",Dados!$D$47:$D$4000,$C27,Dados!$A$47:$A$4000,"&gt;="&amp;Dados!$A$30,Dados!$A$47:$A$4000,"&lt;="&amp;Dados!$A$32))</f>
        <v/>
      </c>
      <c r="E27" s="20">
        <f>IF($C27="","",SUMIFS(Dados!$F$47:$F$4000,Dados!$C$47:$C$4000,"Estado",Dados!$D$47:$D$4000,$C27,Dados!$A$47:$A$4000,"&gt;="&amp;Dados!$A$33,Dados!$A$47:$A$4000,"&lt;="&amp;Dados!$A$35))</f>
        <v/>
      </c>
      <c r="F27" s="20">
        <f>IF($C27="","",SUMIFS(Dados!$F$47:$F$4000,Dados!$C$47:$C$4000,"Estado",Dados!$D$47:$D$4000,$C27,Dados!$A$47:$A$4000,"&gt;="&amp;Dados!$A$36,Dados!$A$47:$A$4000,"&lt;="&amp;Dados!$A$38))</f>
        <v/>
      </c>
      <c r="G27" s="20">
        <f>IF($C27="","",SUMIFS(Dados!$F$47:$F$4000,Dados!$C$47:$C$4000,"Estado",Dados!$D$47:$D$4000,$C27,Dados!$A$47:$A$4000,"&gt;="&amp;Dados!$A$39,Dados!$A$47:$A$4000,"&lt;="&amp;Dados!$A$41))</f>
        <v/>
      </c>
      <c r="H27" s="20">
        <f>IF($C27="","",SUM(D27:G27))</f>
        <v/>
      </c>
      <c r="I27" s="30">
        <f>IF($C27="","",IFERROR(H27/$H$33,""))</f>
        <v/>
      </c>
      <c r="J27" s="29">
        <f>IF($C27="","",SUMIFS(Dados!$F$47:$F$4000,Dados!$C$47:$C$4000,"Estado",Dados!$D$47:$D$4000,$C27,Dados!$A$47:$A$4000,"&gt;="&amp;Dados!$A$18,Dados!$A$47:$A$4000,"&lt;="&amp;EOMONTH(Dados!$AI$5,-12)))</f>
        <v/>
      </c>
      <c r="K27" s="30">
        <f>IF($C27="","",IFERROR(H27/J27-1,""))</f>
        <v/>
      </c>
      <c r="L27" s="29">
        <f>IF($C27="","",SUMIFS(Dados!$F$47:$F$4000,Dados!$C$47:$C$4000,"Estado",Dados!$D$47:$D$4000,$C27,Dados!$A$47:$A$4000,"&gt;="&amp;Dados!$A$18,Dados!$A$47:$A$4000,"&lt;="&amp;Dados!$A$29))</f>
        <v/>
      </c>
    </row>
    <row r="28">
      <c r="B28" s="18">
        <f>IF(Dados!$AO$28="","",Dados!$AO$28)</f>
        <v/>
      </c>
      <c r="C28" s="19">
        <f>IF(Dados!$AN$28="","",Dados!$AN$28)</f>
        <v/>
      </c>
      <c r="D28" s="20">
        <f>IF($C28="","",SUMIFS(Dados!$F$47:$F$4000,Dados!$C$47:$C$4000,"Estado",Dados!$D$47:$D$4000,$C28,Dados!$A$47:$A$4000,"&gt;="&amp;Dados!$A$30,Dados!$A$47:$A$4000,"&lt;="&amp;Dados!$A$32))</f>
        <v/>
      </c>
      <c r="E28" s="20">
        <f>IF($C28="","",SUMIFS(Dados!$F$47:$F$4000,Dados!$C$47:$C$4000,"Estado",Dados!$D$47:$D$4000,$C28,Dados!$A$47:$A$4000,"&gt;="&amp;Dados!$A$33,Dados!$A$47:$A$4000,"&lt;="&amp;Dados!$A$35))</f>
        <v/>
      </c>
      <c r="F28" s="20">
        <f>IF($C28="","",SUMIFS(Dados!$F$47:$F$4000,Dados!$C$47:$C$4000,"Estado",Dados!$D$47:$D$4000,$C28,Dados!$A$47:$A$4000,"&gt;="&amp;Dados!$A$36,Dados!$A$47:$A$4000,"&lt;="&amp;Dados!$A$38))</f>
        <v/>
      </c>
      <c r="G28" s="20">
        <f>IF($C28="","",SUMIFS(Dados!$F$47:$F$4000,Dados!$C$47:$C$4000,"Estado",Dados!$D$47:$D$4000,$C28,Dados!$A$47:$A$4000,"&gt;="&amp;Dados!$A$39,Dados!$A$47:$A$4000,"&lt;="&amp;Dados!$A$41))</f>
        <v/>
      </c>
      <c r="H28" s="20">
        <f>IF($C28="","",SUM(D28:G28))</f>
        <v/>
      </c>
      <c r="I28" s="30">
        <f>IF($C28="","",IFERROR(H28/$H$33,""))</f>
        <v/>
      </c>
      <c r="J28" s="29">
        <f>IF($C28="","",SUMIFS(Dados!$F$47:$F$4000,Dados!$C$47:$C$4000,"Estado",Dados!$D$47:$D$4000,$C28,Dados!$A$47:$A$4000,"&gt;="&amp;Dados!$A$18,Dados!$A$47:$A$4000,"&lt;="&amp;EOMONTH(Dados!$AI$5,-12)))</f>
        <v/>
      </c>
      <c r="K28" s="30">
        <f>IF($C28="","",IFERROR(H28/J28-1,""))</f>
        <v/>
      </c>
      <c r="L28" s="29">
        <f>IF($C28="","",SUMIFS(Dados!$F$47:$F$4000,Dados!$C$47:$C$4000,"Estado",Dados!$D$47:$D$4000,$C28,Dados!$A$47:$A$4000,"&gt;="&amp;Dados!$A$18,Dados!$A$47:$A$4000,"&lt;="&amp;Dados!$A$29))</f>
        <v/>
      </c>
    </row>
    <row r="29">
      <c r="B29" s="18">
        <f>IF(Dados!$AO$29="","",Dados!$AO$29)</f>
        <v/>
      </c>
      <c r="C29" s="19">
        <f>IF(Dados!$AN$29="","",Dados!$AN$29)</f>
        <v/>
      </c>
      <c r="D29" s="20">
        <f>IF($C29="","",SUMIFS(Dados!$F$47:$F$4000,Dados!$C$47:$C$4000,"Estado",Dados!$D$47:$D$4000,$C29,Dados!$A$47:$A$4000,"&gt;="&amp;Dados!$A$30,Dados!$A$47:$A$4000,"&lt;="&amp;Dados!$A$32))</f>
        <v/>
      </c>
      <c r="E29" s="20">
        <f>IF($C29="","",SUMIFS(Dados!$F$47:$F$4000,Dados!$C$47:$C$4000,"Estado",Dados!$D$47:$D$4000,$C29,Dados!$A$47:$A$4000,"&gt;="&amp;Dados!$A$33,Dados!$A$47:$A$4000,"&lt;="&amp;Dados!$A$35))</f>
        <v/>
      </c>
      <c r="F29" s="20">
        <f>IF($C29="","",SUMIFS(Dados!$F$47:$F$4000,Dados!$C$47:$C$4000,"Estado",Dados!$D$47:$D$4000,$C29,Dados!$A$47:$A$4000,"&gt;="&amp;Dados!$A$36,Dados!$A$47:$A$4000,"&lt;="&amp;Dados!$A$38))</f>
        <v/>
      </c>
      <c r="G29" s="20">
        <f>IF($C29="","",SUMIFS(Dados!$F$47:$F$4000,Dados!$C$47:$C$4000,"Estado",Dados!$D$47:$D$4000,$C29,Dados!$A$47:$A$4000,"&gt;="&amp;Dados!$A$39,Dados!$A$47:$A$4000,"&lt;="&amp;Dados!$A$41))</f>
        <v/>
      </c>
      <c r="H29" s="20">
        <f>IF($C29="","",SUM(D29:G29))</f>
        <v/>
      </c>
      <c r="I29" s="30">
        <f>IF($C29="","",IFERROR(H29/$H$33,""))</f>
        <v/>
      </c>
      <c r="J29" s="29">
        <f>IF($C29="","",SUMIFS(Dados!$F$47:$F$4000,Dados!$C$47:$C$4000,"Estado",Dados!$D$47:$D$4000,$C29,Dados!$A$47:$A$4000,"&gt;="&amp;Dados!$A$18,Dados!$A$47:$A$4000,"&lt;="&amp;EOMONTH(Dados!$AI$5,-12)))</f>
        <v/>
      </c>
      <c r="K29" s="30">
        <f>IF($C29="","",IFERROR(H29/J29-1,""))</f>
        <v/>
      </c>
      <c r="L29" s="29">
        <f>IF($C29="","",SUMIFS(Dados!$F$47:$F$4000,Dados!$C$47:$C$4000,"Estado",Dados!$D$47:$D$4000,$C29,Dados!$A$47:$A$4000,"&gt;="&amp;Dados!$A$18,Dados!$A$47:$A$4000,"&lt;="&amp;Dados!$A$29))</f>
        <v/>
      </c>
    </row>
    <row r="30">
      <c r="B30" s="18">
        <f>IF(Dados!$AO$30="","",Dados!$AO$30)</f>
        <v/>
      </c>
      <c r="C30" s="19">
        <f>IF(Dados!$AN$30="","",Dados!$AN$30)</f>
        <v/>
      </c>
      <c r="D30" s="20">
        <f>IF($C30="","",SUMIFS(Dados!$F$47:$F$4000,Dados!$C$47:$C$4000,"Estado",Dados!$D$47:$D$4000,$C30,Dados!$A$47:$A$4000,"&gt;="&amp;Dados!$A$30,Dados!$A$47:$A$4000,"&lt;="&amp;Dados!$A$32))</f>
        <v/>
      </c>
      <c r="E30" s="20">
        <f>IF($C30="","",SUMIFS(Dados!$F$47:$F$4000,Dados!$C$47:$C$4000,"Estado",Dados!$D$47:$D$4000,$C30,Dados!$A$47:$A$4000,"&gt;="&amp;Dados!$A$33,Dados!$A$47:$A$4000,"&lt;="&amp;Dados!$A$35))</f>
        <v/>
      </c>
      <c r="F30" s="20">
        <f>IF($C30="","",SUMIFS(Dados!$F$47:$F$4000,Dados!$C$47:$C$4000,"Estado",Dados!$D$47:$D$4000,$C30,Dados!$A$47:$A$4000,"&gt;="&amp;Dados!$A$36,Dados!$A$47:$A$4000,"&lt;="&amp;Dados!$A$38))</f>
        <v/>
      </c>
      <c r="G30" s="20">
        <f>IF($C30="","",SUMIFS(Dados!$F$47:$F$4000,Dados!$C$47:$C$4000,"Estado",Dados!$D$47:$D$4000,$C30,Dados!$A$47:$A$4000,"&gt;="&amp;Dados!$A$39,Dados!$A$47:$A$4000,"&lt;="&amp;Dados!$A$41))</f>
        <v/>
      </c>
      <c r="H30" s="20">
        <f>IF($C30="","",SUM(D30:G30))</f>
        <v/>
      </c>
      <c r="I30" s="30">
        <f>IF($C30="","",IFERROR(H30/$H$33,""))</f>
        <v/>
      </c>
      <c r="J30" s="29">
        <f>IF($C30="","",SUMIFS(Dados!$F$47:$F$4000,Dados!$C$47:$C$4000,"Estado",Dados!$D$47:$D$4000,$C30,Dados!$A$47:$A$4000,"&gt;="&amp;Dados!$A$18,Dados!$A$47:$A$4000,"&lt;="&amp;EOMONTH(Dados!$AI$5,-12)))</f>
        <v/>
      </c>
      <c r="K30" s="30">
        <f>IF($C30="","",IFERROR(H30/J30-1,""))</f>
        <v/>
      </c>
      <c r="L30" s="29">
        <f>IF($C30="","",SUMIFS(Dados!$F$47:$F$4000,Dados!$C$47:$C$4000,"Estado",Dados!$D$47:$D$4000,$C30,Dados!$A$47:$A$4000,"&gt;="&amp;Dados!$A$18,Dados!$A$47:$A$4000,"&lt;="&amp;Dados!$A$29))</f>
        <v/>
      </c>
    </row>
    <row r="31">
      <c r="B31" s="18">
        <f>IF(Dados!$AO$31="","",Dados!$AO$31)</f>
        <v/>
      </c>
      <c r="C31" s="19">
        <f>IF(Dados!$AN$31="","",Dados!$AN$31)</f>
        <v/>
      </c>
      <c r="D31" s="20">
        <f>IF($C31="","",SUMIFS(Dados!$F$47:$F$4000,Dados!$C$47:$C$4000,"Estado",Dados!$D$47:$D$4000,$C31,Dados!$A$47:$A$4000,"&gt;="&amp;Dados!$A$30,Dados!$A$47:$A$4000,"&lt;="&amp;Dados!$A$32))</f>
        <v/>
      </c>
      <c r="E31" s="20">
        <f>IF($C31="","",SUMIFS(Dados!$F$47:$F$4000,Dados!$C$47:$C$4000,"Estado",Dados!$D$47:$D$4000,$C31,Dados!$A$47:$A$4000,"&gt;="&amp;Dados!$A$33,Dados!$A$47:$A$4000,"&lt;="&amp;Dados!$A$35))</f>
        <v/>
      </c>
      <c r="F31" s="20">
        <f>IF($C31="","",SUMIFS(Dados!$F$47:$F$4000,Dados!$C$47:$C$4000,"Estado",Dados!$D$47:$D$4000,$C31,Dados!$A$47:$A$4000,"&gt;="&amp;Dados!$A$36,Dados!$A$47:$A$4000,"&lt;="&amp;Dados!$A$38))</f>
        <v/>
      </c>
      <c r="G31" s="20">
        <f>IF($C31="","",SUMIFS(Dados!$F$47:$F$4000,Dados!$C$47:$C$4000,"Estado",Dados!$D$47:$D$4000,$C31,Dados!$A$47:$A$4000,"&gt;="&amp;Dados!$A$39,Dados!$A$47:$A$4000,"&lt;="&amp;Dados!$A$41))</f>
        <v/>
      </c>
      <c r="H31" s="20">
        <f>IF($C31="","",SUM(D31:G31))</f>
        <v/>
      </c>
      <c r="I31" s="30">
        <f>IF($C31="","",IFERROR(H31/$H$33,""))</f>
        <v/>
      </c>
      <c r="J31" s="29">
        <f>IF($C31="","",SUMIFS(Dados!$F$47:$F$4000,Dados!$C$47:$C$4000,"Estado",Dados!$D$47:$D$4000,$C31,Dados!$A$47:$A$4000,"&gt;="&amp;Dados!$A$18,Dados!$A$47:$A$4000,"&lt;="&amp;EOMONTH(Dados!$AI$5,-12)))</f>
        <v/>
      </c>
      <c r="K31" s="30">
        <f>IF($C31="","",IFERROR(H31/J31-1,""))</f>
        <v/>
      </c>
      <c r="L31" s="29">
        <f>IF($C31="","",SUMIFS(Dados!$F$47:$F$4000,Dados!$C$47:$C$4000,"Estado",Dados!$D$47:$D$4000,$C31,Dados!$A$47:$A$4000,"&gt;="&amp;Dados!$A$18,Dados!$A$47:$A$4000,"&lt;="&amp;Dados!$A$29))</f>
        <v/>
      </c>
    </row>
    <row r="32">
      <c r="B32" s="18">
        <f>IF(Dados!$AO$32="","",Dados!$AO$32)</f>
        <v/>
      </c>
      <c r="C32" s="19">
        <f>IF(Dados!$AN$32="","",Dados!$AN$32)</f>
        <v/>
      </c>
      <c r="D32" s="20">
        <f>IF($C32="","",SUMIFS(Dados!$F$47:$F$4000,Dados!$C$47:$C$4000,"Estado",Dados!$D$47:$D$4000,$C32,Dados!$A$47:$A$4000,"&gt;="&amp;Dados!$A$30,Dados!$A$47:$A$4000,"&lt;="&amp;Dados!$A$32))</f>
        <v/>
      </c>
      <c r="E32" s="20">
        <f>IF($C32="","",SUMIFS(Dados!$F$47:$F$4000,Dados!$C$47:$C$4000,"Estado",Dados!$D$47:$D$4000,$C32,Dados!$A$47:$A$4000,"&gt;="&amp;Dados!$A$33,Dados!$A$47:$A$4000,"&lt;="&amp;Dados!$A$35))</f>
        <v/>
      </c>
      <c r="F32" s="20">
        <f>IF($C32="","",SUMIFS(Dados!$F$47:$F$4000,Dados!$C$47:$C$4000,"Estado",Dados!$D$47:$D$4000,$C32,Dados!$A$47:$A$4000,"&gt;="&amp;Dados!$A$36,Dados!$A$47:$A$4000,"&lt;="&amp;Dados!$A$38))</f>
        <v/>
      </c>
      <c r="G32" s="20">
        <f>IF($C32="","",SUMIFS(Dados!$F$47:$F$4000,Dados!$C$47:$C$4000,"Estado",Dados!$D$47:$D$4000,$C32,Dados!$A$47:$A$4000,"&gt;="&amp;Dados!$A$39,Dados!$A$47:$A$4000,"&lt;="&amp;Dados!$A$41))</f>
        <v/>
      </c>
      <c r="H32" s="20">
        <f>IF($C32="","",SUM(D32:G32))</f>
        <v/>
      </c>
      <c r="I32" s="30">
        <f>IF($C32="","",IFERROR(H32/$H$33,""))</f>
        <v/>
      </c>
      <c r="J32" s="29">
        <f>IF($C32="","",SUMIFS(Dados!$F$47:$F$4000,Dados!$C$47:$C$4000,"Estado",Dados!$D$47:$D$4000,$C32,Dados!$A$47:$A$4000,"&gt;="&amp;Dados!$A$18,Dados!$A$47:$A$4000,"&lt;="&amp;EOMONTH(Dados!$AI$5,-12)))</f>
        <v/>
      </c>
      <c r="K32" s="30">
        <f>IF($C32="","",IFERROR(H32/J32-1,""))</f>
        <v/>
      </c>
      <c r="L32" s="29">
        <f>IF($C32="","",SUMIFS(Dados!$F$47:$F$4000,Dados!$C$47:$C$4000,"Estado",Dados!$D$47:$D$4000,$C32,Dados!$A$47:$A$4000,"&gt;="&amp;Dados!$A$18,Dados!$A$47:$A$4000,"&lt;="&amp;Dados!$A$29))</f>
        <v/>
      </c>
    </row>
    <row r="33">
      <c r="B33" s="26" t="inlineStr">
        <is>
          <t>Total</t>
        </is>
      </c>
      <c r="C33" s="27" t="n"/>
      <c r="D33" s="27">
        <f>SUM(D5:D32)</f>
        <v/>
      </c>
      <c r="E33" s="27">
        <f>SUM(E5:E32)</f>
        <v/>
      </c>
      <c r="F33" s="27">
        <f>SUM(F5:F32)</f>
        <v/>
      </c>
      <c r="G33" s="27">
        <f>SUM(G5:G32)</f>
        <v/>
      </c>
      <c r="H33" s="27">
        <f>SUM(H5:H32)</f>
        <v/>
      </c>
      <c r="I33" s="35">
        <f>IFERROR(H33/H33,"")</f>
        <v/>
      </c>
      <c r="J33" s="27">
        <f>SUM(J5:J32)</f>
        <v/>
      </c>
      <c r="K33" s="35">
        <f>IFERROR(H33/J33-1,"")</f>
        <v/>
      </c>
      <c r="L33" s="27">
        <f>SUM(L5:L32)</f>
        <v/>
      </c>
    </row>
    <row r="34">
      <c r="B34" s="23" t="inlineStr">
        <is>
          <t>S/UF: notas de clientes sem estado no cadastro.</t>
        </is>
      </c>
    </row>
  </sheetData>
  <conditionalFormatting sqref="H5:H32">
    <cfRule type="colorScale" priority="1">
      <colorScale>
        <cfvo type="num" val="0"/>
        <cfvo type="percentile" val="60"/>
        <cfvo type="max"/>
        <color rgb="00FFFAED"/>
        <color rgb="00ECC6AC"/>
        <color rgb="00A0473D"/>
      </colorScale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&amp;L&amp;"Montserrat"&amp;8 AviZee · Workbook de Fechamento&amp;R&amp;"Montserrat"&amp;8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D08A63"/>
    <outlinePr summaryBelow="1" summaryRight="1"/>
    <pageSetUpPr fitToPage="1"/>
  </sheetPr>
  <dimension ref="B1:N23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30" customHeight="1">
      <c r="B1" s="24">
        <f>"Capital de giro · últimos 12 meses até "&amp;Dados!$AI$8</f>
        <v/>
      </c>
    </row>
    <row r="2" ht="16" customHeight="1">
      <c r="B2" s="3" t="inlineStr">
        <is>
          <t>Contas a receber e a pagar em aberto no fim de cada mês, por faixa de vencimento · R$</t>
        </is>
      </c>
    </row>
    <row r="3" ht="8" customHeight="1"/>
    <row r="4" ht="20" customHeight="1">
      <c r="B4" s="16" t="inlineStr">
        <is>
          <t>R$</t>
        </is>
      </c>
      <c r="C4" s="17">
        <f>VLOOKUP(EOMONTH(Dados!$AI$5,-12)+1,Dados!$A$5:$B$41,2,FALSE)</f>
        <v/>
      </c>
      <c r="D4" s="17">
        <f>VLOOKUP(EOMONTH(Dados!$AI$5,-11)+1,Dados!$A$5:$B$41,2,FALSE)</f>
        <v/>
      </c>
      <c r="E4" s="17">
        <f>VLOOKUP(EOMONTH(Dados!$AI$5,-10)+1,Dados!$A$5:$B$41,2,FALSE)</f>
        <v/>
      </c>
      <c r="F4" s="17">
        <f>VLOOKUP(EOMONTH(Dados!$AI$5,-9)+1,Dados!$A$5:$B$41,2,FALSE)</f>
        <v/>
      </c>
      <c r="G4" s="17">
        <f>VLOOKUP(EOMONTH(Dados!$AI$5,-8)+1,Dados!$A$5:$B$41,2,FALSE)</f>
        <v/>
      </c>
      <c r="H4" s="17">
        <f>VLOOKUP(EOMONTH(Dados!$AI$5,-7)+1,Dados!$A$5:$B$41,2,FALSE)</f>
        <v/>
      </c>
      <c r="I4" s="17">
        <f>VLOOKUP(EOMONTH(Dados!$AI$5,-6)+1,Dados!$A$5:$B$41,2,FALSE)</f>
        <v/>
      </c>
      <c r="J4" s="17">
        <f>VLOOKUP(EOMONTH(Dados!$AI$5,-5)+1,Dados!$A$5:$B$41,2,FALSE)</f>
        <v/>
      </c>
      <c r="K4" s="17">
        <f>VLOOKUP(EOMONTH(Dados!$AI$5,-4)+1,Dados!$A$5:$B$41,2,FALSE)</f>
        <v/>
      </c>
      <c r="L4" s="17">
        <f>VLOOKUP(EOMONTH(Dados!$AI$5,-3)+1,Dados!$A$5:$B$41,2,FALSE)</f>
        <v/>
      </c>
      <c r="M4" s="17">
        <f>VLOOKUP(EOMONTH(Dados!$AI$5,-2)+1,Dados!$A$5:$B$41,2,FALSE)</f>
        <v/>
      </c>
      <c r="N4" s="17">
        <f>VLOOKUP(EOMONTH(Dados!$AI$5,-1)+1,Dados!$A$5:$B$41,2,FALSE)</f>
        <v/>
      </c>
    </row>
    <row r="5">
      <c r="B5" s="15" t="inlineStr">
        <is>
          <t>A receber</t>
        </is>
      </c>
    </row>
    <row r="6">
      <c r="B6" s="18" t="inlineStr">
        <is>
          <t>A vencer em até 30 dias</t>
        </is>
      </c>
      <c r="C6" s="20">
        <f>VLOOKUP(C$4,Dados!$B$5:$AF$41,12,FALSE)</f>
        <v/>
      </c>
      <c r="D6" s="20">
        <f>VLOOKUP(D$4,Dados!$B$5:$AF$41,12,FALSE)</f>
        <v/>
      </c>
      <c r="E6" s="20">
        <f>VLOOKUP(E$4,Dados!$B$5:$AF$41,12,FALSE)</f>
        <v/>
      </c>
      <c r="F6" s="20">
        <f>VLOOKUP(F$4,Dados!$B$5:$AF$41,12,FALSE)</f>
        <v/>
      </c>
      <c r="G6" s="20">
        <f>VLOOKUP(G$4,Dados!$B$5:$AF$41,12,FALSE)</f>
        <v/>
      </c>
      <c r="H6" s="20">
        <f>VLOOKUP(H$4,Dados!$B$5:$AF$41,12,FALSE)</f>
        <v/>
      </c>
      <c r="I6" s="20">
        <f>VLOOKUP(I$4,Dados!$B$5:$AF$41,12,FALSE)</f>
        <v/>
      </c>
      <c r="J6" s="20">
        <f>VLOOKUP(J$4,Dados!$B$5:$AF$41,12,FALSE)</f>
        <v/>
      </c>
      <c r="K6" s="20">
        <f>VLOOKUP(K$4,Dados!$B$5:$AF$41,12,FALSE)</f>
        <v/>
      </c>
      <c r="L6" s="20">
        <f>VLOOKUP(L$4,Dados!$B$5:$AF$41,12,FALSE)</f>
        <v/>
      </c>
      <c r="M6" s="20">
        <f>VLOOKUP(M$4,Dados!$B$5:$AF$41,12,FALSE)</f>
        <v/>
      </c>
      <c r="N6" s="20">
        <f>VLOOKUP(N$4,Dados!$B$5:$AF$41,12,FALSE)</f>
        <v/>
      </c>
    </row>
    <row r="7">
      <c r="B7" s="18" t="inlineStr">
        <is>
          <t>A vencer de 31 a 90 dias</t>
        </is>
      </c>
      <c r="C7" s="20">
        <f>VLOOKUP(C$4,Dados!$B$5:$AF$41,13,FALSE)</f>
        <v/>
      </c>
      <c r="D7" s="20">
        <f>VLOOKUP(D$4,Dados!$B$5:$AF$41,13,FALSE)</f>
        <v/>
      </c>
      <c r="E7" s="20">
        <f>VLOOKUP(E$4,Dados!$B$5:$AF$41,13,FALSE)</f>
        <v/>
      </c>
      <c r="F7" s="20">
        <f>VLOOKUP(F$4,Dados!$B$5:$AF$41,13,FALSE)</f>
        <v/>
      </c>
      <c r="G7" s="20">
        <f>VLOOKUP(G$4,Dados!$B$5:$AF$41,13,FALSE)</f>
        <v/>
      </c>
      <c r="H7" s="20">
        <f>VLOOKUP(H$4,Dados!$B$5:$AF$41,13,FALSE)</f>
        <v/>
      </c>
      <c r="I7" s="20">
        <f>VLOOKUP(I$4,Dados!$B$5:$AF$41,13,FALSE)</f>
        <v/>
      </c>
      <c r="J7" s="20">
        <f>VLOOKUP(J$4,Dados!$B$5:$AF$41,13,FALSE)</f>
        <v/>
      </c>
      <c r="K7" s="20">
        <f>VLOOKUP(K$4,Dados!$B$5:$AF$41,13,FALSE)</f>
        <v/>
      </c>
      <c r="L7" s="20">
        <f>VLOOKUP(L$4,Dados!$B$5:$AF$41,13,FALSE)</f>
        <v/>
      </c>
      <c r="M7" s="20">
        <f>VLOOKUP(M$4,Dados!$B$5:$AF$41,13,FALSE)</f>
        <v/>
      </c>
      <c r="N7" s="20">
        <f>VLOOKUP(N$4,Dados!$B$5:$AF$41,13,FALSE)</f>
        <v/>
      </c>
    </row>
    <row r="8">
      <c r="B8" s="18" t="inlineStr">
        <is>
          <t>A vencer em mais de 90 dias</t>
        </is>
      </c>
      <c r="C8" s="20">
        <f>VLOOKUP(C$4,Dados!$B$5:$AF$41,14,FALSE)</f>
        <v/>
      </c>
      <c r="D8" s="20">
        <f>VLOOKUP(D$4,Dados!$B$5:$AF$41,14,FALSE)</f>
        <v/>
      </c>
      <c r="E8" s="20">
        <f>VLOOKUP(E$4,Dados!$B$5:$AF$41,14,FALSE)</f>
        <v/>
      </c>
      <c r="F8" s="20">
        <f>VLOOKUP(F$4,Dados!$B$5:$AF$41,14,FALSE)</f>
        <v/>
      </c>
      <c r="G8" s="20">
        <f>VLOOKUP(G$4,Dados!$B$5:$AF$41,14,FALSE)</f>
        <v/>
      </c>
      <c r="H8" s="20">
        <f>VLOOKUP(H$4,Dados!$B$5:$AF$41,14,FALSE)</f>
        <v/>
      </c>
      <c r="I8" s="20">
        <f>VLOOKUP(I$4,Dados!$B$5:$AF$41,14,FALSE)</f>
        <v/>
      </c>
      <c r="J8" s="20">
        <f>VLOOKUP(J$4,Dados!$B$5:$AF$41,14,FALSE)</f>
        <v/>
      </c>
      <c r="K8" s="20">
        <f>VLOOKUP(K$4,Dados!$B$5:$AF$41,14,FALSE)</f>
        <v/>
      </c>
      <c r="L8" s="20">
        <f>VLOOKUP(L$4,Dados!$B$5:$AF$41,14,FALSE)</f>
        <v/>
      </c>
      <c r="M8" s="20">
        <f>VLOOKUP(M$4,Dados!$B$5:$AF$41,14,FALSE)</f>
        <v/>
      </c>
      <c r="N8" s="20">
        <f>VLOOKUP(N$4,Dados!$B$5:$AF$41,14,FALSE)</f>
        <v/>
      </c>
    </row>
    <row r="9">
      <c r="B9" s="38" t="inlineStr">
        <is>
          <t>Vencido há até 30 dias</t>
        </is>
      </c>
      <c r="C9" s="20">
        <f>VLOOKUP(C$4,Dados!$B$5:$AF$41,15,FALSE)</f>
        <v/>
      </c>
      <c r="D9" s="20">
        <f>VLOOKUP(D$4,Dados!$B$5:$AF$41,15,FALSE)</f>
        <v/>
      </c>
      <c r="E9" s="20">
        <f>VLOOKUP(E$4,Dados!$B$5:$AF$41,15,FALSE)</f>
        <v/>
      </c>
      <c r="F9" s="20">
        <f>VLOOKUP(F$4,Dados!$B$5:$AF$41,15,FALSE)</f>
        <v/>
      </c>
      <c r="G9" s="20">
        <f>VLOOKUP(G$4,Dados!$B$5:$AF$41,15,FALSE)</f>
        <v/>
      </c>
      <c r="H9" s="20">
        <f>VLOOKUP(H$4,Dados!$B$5:$AF$41,15,FALSE)</f>
        <v/>
      </c>
      <c r="I9" s="20">
        <f>VLOOKUP(I$4,Dados!$B$5:$AF$41,15,FALSE)</f>
        <v/>
      </c>
      <c r="J9" s="20">
        <f>VLOOKUP(J$4,Dados!$B$5:$AF$41,15,FALSE)</f>
        <v/>
      </c>
      <c r="K9" s="20">
        <f>VLOOKUP(K$4,Dados!$B$5:$AF$41,15,FALSE)</f>
        <v/>
      </c>
      <c r="L9" s="20">
        <f>VLOOKUP(L$4,Dados!$B$5:$AF$41,15,FALSE)</f>
        <v/>
      </c>
      <c r="M9" s="20">
        <f>VLOOKUP(M$4,Dados!$B$5:$AF$41,15,FALSE)</f>
        <v/>
      </c>
      <c r="N9" s="20">
        <f>VLOOKUP(N$4,Dados!$B$5:$AF$41,15,FALSE)</f>
        <v/>
      </c>
    </row>
    <row r="10">
      <c r="B10" s="38" t="inlineStr">
        <is>
          <t>Vencido há mais de 30 dias</t>
        </is>
      </c>
      <c r="C10" s="20">
        <f>VLOOKUP(C$4,Dados!$B$5:$AF$41,16,FALSE)</f>
        <v/>
      </c>
      <c r="D10" s="20">
        <f>VLOOKUP(D$4,Dados!$B$5:$AF$41,16,FALSE)</f>
        <v/>
      </c>
      <c r="E10" s="20">
        <f>VLOOKUP(E$4,Dados!$B$5:$AF$41,16,FALSE)</f>
        <v/>
      </c>
      <c r="F10" s="20">
        <f>VLOOKUP(F$4,Dados!$B$5:$AF$41,16,FALSE)</f>
        <v/>
      </c>
      <c r="G10" s="20">
        <f>VLOOKUP(G$4,Dados!$B$5:$AF$41,16,FALSE)</f>
        <v/>
      </c>
      <c r="H10" s="20">
        <f>VLOOKUP(H$4,Dados!$B$5:$AF$41,16,FALSE)</f>
        <v/>
      </c>
      <c r="I10" s="20">
        <f>VLOOKUP(I$4,Dados!$B$5:$AF$41,16,FALSE)</f>
        <v/>
      </c>
      <c r="J10" s="20">
        <f>VLOOKUP(J$4,Dados!$B$5:$AF$41,16,FALSE)</f>
        <v/>
      </c>
      <c r="K10" s="20">
        <f>VLOOKUP(K$4,Dados!$B$5:$AF$41,16,FALSE)</f>
        <v/>
      </c>
      <c r="L10" s="20">
        <f>VLOOKUP(L$4,Dados!$B$5:$AF$41,16,FALSE)</f>
        <v/>
      </c>
      <c r="M10" s="20">
        <f>VLOOKUP(M$4,Dados!$B$5:$AF$41,16,FALSE)</f>
        <v/>
      </c>
      <c r="N10" s="20">
        <f>VLOOKUP(N$4,Dados!$B$5:$AF$41,16,FALSE)</f>
        <v/>
      </c>
    </row>
    <row r="11">
      <c r="B11" s="26" t="inlineStr">
        <is>
          <t>Total a receber</t>
        </is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7">
        <f>SUM(G6:G10)</f>
        <v/>
      </c>
      <c r="H11" s="27">
        <f>SUM(H6:H10)</f>
        <v/>
      </c>
      <c r="I11" s="27">
        <f>SUM(I6:I10)</f>
        <v/>
      </c>
      <c r="J11" s="27">
        <f>SUM(J6:J10)</f>
        <v/>
      </c>
      <c r="K11" s="27">
        <f>SUM(K6:K10)</f>
        <v/>
      </c>
      <c r="L11" s="27">
        <f>SUM(L6:L10)</f>
        <v/>
      </c>
      <c r="M11" s="27">
        <f>SUM(M6:M10)</f>
        <v/>
      </c>
      <c r="N11" s="27">
        <f>SUM(N6:N10)</f>
        <v/>
      </c>
    </row>
    <row r="13">
      <c r="B13" s="15" t="inlineStr">
        <is>
          <t>A pagar</t>
        </is>
      </c>
    </row>
    <row r="14">
      <c r="B14" s="18" t="inlineStr">
        <is>
          <t>A vencer em até 30 dias</t>
        </is>
      </c>
      <c r="C14" s="20">
        <f>VLOOKUP(C$4,Dados!$B$5:$AF$41,17,FALSE)</f>
        <v/>
      </c>
      <c r="D14" s="20">
        <f>VLOOKUP(D$4,Dados!$B$5:$AF$41,17,FALSE)</f>
        <v/>
      </c>
      <c r="E14" s="20">
        <f>VLOOKUP(E$4,Dados!$B$5:$AF$41,17,FALSE)</f>
        <v/>
      </c>
      <c r="F14" s="20">
        <f>VLOOKUP(F$4,Dados!$B$5:$AF$41,17,FALSE)</f>
        <v/>
      </c>
      <c r="G14" s="20">
        <f>VLOOKUP(G$4,Dados!$B$5:$AF$41,17,FALSE)</f>
        <v/>
      </c>
      <c r="H14" s="20">
        <f>VLOOKUP(H$4,Dados!$B$5:$AF$41,17,FALSE)</f>
        <v/>
      </c>
      <c r="I14" s="20">
        <f>VLOOKUP(I$4,Dados!$B$5:$AF$41,17,FALSE)</f>
        <v/>
      </c>
      <c r="J14" s="20">
        <f>VLOOKUP(J$4,Dados!$B$5:$AF$41,17,FALSE)</f>
        <v/>
      </c>
      <c r="K14" s="20">
        <f>VLOOKUP(K$4,Dados!$B$5:$AF$41,17,FALSE)</f>
        <v/>
      </c>
      <c r="L14" s="20">
        <f>VLOOKUP(L$4,Dados!$B$5:$AF$41,17,FALSE)</f>
        <v/>
      </c>
      <c r="M14" s="20">
        <f>VLOOKUP(M$4,Dados!$B$5:$AF$41,17,FALSE)</f>
        <v/>
      </c>
      <c r="N14" s="20">
        <f>VLOOKUP(N$4,Dados!$B$5:$AF$41,17,FALSE)</f>
        <v/>
      </c>
    </row>
    <row r="15">
      <c r="B15" s="18" t="inlineStr">
        <is>
          <t>A vencer de 31 a 90 dias</t>
        </is>
      </c>
      <c r="C15" s="20">
        <f>VLOOKUP(C$4,Dados!$B$5:$AF$41,18,FALSE)</f>
        <v/>
      </c>
      <c r="D15" s="20">
        <f>VLOOKUP(D$4,Dados!$B$5:$AF$41,18,FALSE)</f>
        <v/>
      </c>
      <c r="E15" s="20">
        <f>VLOOKUP(E$4,Dados!$B$5:$AF$41,18,FALSE)</f>
        <v/>
      </c>
      <c r="F15" s="20">
        <f>VLOOKUP(F$4,Dados!$B$5:$AF$41,18,FALSE)</f>
        <v/>
      </c>
      <c r="G15" s="20">
        <f>VLOOKUP(G$4,Dados!$B$5:$AF$41,18,FALSE)</f>
        <v/>
      </c>
      <c r="H15" s="20">
        <f>VLOOKUP(H$4,Dados!$B$5:$AF$41,18,FALSE)</f>
        <v/>
      </c>
      <c r="I15" s="20">
        <f>VLOOKUP(I$4,Dados!$B$5:$AF$41,18,FALSE)</f>
        <v/>
      </c>
      <c r="J15" s="20">
        <f>VLOOKUP(J$4,Dados!$B$5:$AF$41,18,FALSE)</f>
        <v/>
      </c>
      <c r="K15" s="20">
        <f>VLOOKUP(K$4,Dados!$B$5:$AF$41,18,FALSE)</f>
        <v/>
      </c>
      <c r="L15" s="20">
        <f>VLOOKUP(L$4,Dados!$B$5:$AF$41,18,FALSE)</f>
        <v/>
      </c>
      <c r="M15" s="20">
        <f>VLOOKUP(M$4,Dados!$B$5:$AF$41,18,FALSE)</f>
        <v/>
      </c>
      <c r="N15" s="20">
        <f>VLOOKUP(N$4,Dados!$B$5:$AF$41,18,FALSE)</f>
        <v/>
      </c>
    </row>
    <row r="16">
      <c r="B16" s="18" t="inlineStr">
        <is>
          <t>A vencer em mais de 90 dias</t>
        </is>
      </c>
      <c r="C16" s="20">
        <f>VLOOKUP(C$4,Dados!$B$5:$AF$41,19,FALSE)</f>
        <v/>
      </c>
      <c r="D16" s="20">
        <f>VLOOKUP(D$4,Dados!$B$5:$AF$41,19,FALSE)</f>
        <v/>
      </c>
      <c r="E16" s="20">
        <f>VLOOKUP(E$4,Dados!$B$5:$AF$41,19,FALSE)</f>
        <v/>
      </c>
      <c r="F16" s="20">
        <f>VLOOKUP(F$4,Dados!$B$5:$AF$41,19,FALSE)</f>
        <v/>
      </c>
      <c r="G16" s="20">
        <f>VLOOKUP(G$4,Dados!$B$5:$AF$41,19,FALSE)</f>
        <v/>
      </c>
      <c r="H16" s="20">
        <f>VLOOKUP(H$4,Dados!$B$5:$AF$41,19,FALSE)</f>
        <v/>
      </c>
      <c r="I16" s="20">
        <f>VLOOKUP(I$4,Dados!$B$5:$AF$41,19,FALSE)</f>
        <v/>
      </c>
      <c r="J16" s="20">
        <f>VLOOKUP(J$4,Dados!$B$5:$AF$41,19,FALSE)</f>
        <v/>
      </c>
      <c r="K16" s="20">
        <f>VLOOKUP(K$4,Dados!$B$5:$AF$41,19,FALSE)</f>
        <v/>
      </c>
      <c r="L16" s="20">
        <f>VLOOKUP(L$4,Dados!$B$5:$AF$41,19,FALSE)</f>
        <v/>
      </c>
      <c r="M16" s="20">
        <f>VLOOKUP(M$4,Dados!$B$5:$AF$41,19,FALSE)</f>
        <v/>
      </c>
      <c r="N16" s="20">
        <f>VLOOKUP(N$4,Dados!$B$5:$AF$41,19,FALSE)</f>
        <v/>
      </c>
    </row>
    <row r="17">
      <c r="B17" s="38" t="inlineStr">
        <is>
          <t>Vencido há até 30 dias</t>
        </is>
      </c>
      <c r="C17" s="20">
        <f>VLOOKUP(C$4,Dados!$B$5:$AF$41,20,FALSE)</f>
        <v/>
      </c>
      <c r="D17" s="20">
        <f>VLOOKUP(D$4,Dados!$B$5:$AF$41,20,FALSE)</f>
        <v/>
      </c>
      <c r="E17" s="20">
        <f>VLOOKUP(E$4,Dados!$B$5:$AF$41,20,FALSE)</f>
        <v/>
      </c>
      <c r="F17" s="20">
        <f>VLOOKUP(F$4,Dados!$B$5:$AF$41,20,FALSE)</f>
        <v/>
      </c>
      <c r="G17" s="20">
        <f>VLOOKUP(G$4,Dados!$B$5:$AF$41,20,FALSE)</f>
        <v/>
      </c>
      <c r="H17" s="20">
        <f>VLOOKUP(H$4,Dados!$B$5:$AF$41,20,FALSE)</f>
        <v/>
      </c>
      <c r="I17" s="20">
        <f>VLOOKUP(I$4,Dados!$B$5:$AF$41,20,FALSE)</f>
        <v/>
      </c>
      <c r="J17" s="20">
        <f>VLOOKUP(J$4,Dados!$B$5:$AF$41,20,FALSE)</f>
        <v/>
      </c>
      <c r="K17" s="20">
        <f>VLOOKUP(K$4,Dados!$B$5:$AF$41,20,FALSE)</f>
        <v/>
      </c>
      <c r="L17" s="20">
        <f>VLOOKUP(L$4,Dados!$B$5:$AF$41,20,FALSE)</f>
        <v/>
      </c>
      <c r="M17" s="20">
        <f>VLOOKUP(M$4,Dados!$B$5:$AF$41,20,FALSE)</f>
        <v/>
      </c>
      <c r="N17" s="20">
        <f>VLOOKUP(N$4,Dados!$B$5:$AF$41,20,FALSE)</f>
        <v/>
      </c>
    </row>
    <row r="18">
      <c r="B18" s="38" t="inlineStr">
        <is>
          <t>Vencido há mais de 30 dias</t>
        </is>
      </c>
      <c r="C18" s="20">
        <f>VLOOKUP(C$4,Dados!$B$5:$AF$41,21,FALSE)</f>
        <v/>
      </c>
      <c r="D18" s="20">
        <f>VLOOKUP(D$4,Dados!$B$5:$AF$41,21,FALSE)</f>
        <v/>
      </c>
      <c r="E18" s="20">
        <f>VLOOKUP(E$4,Dados!$B$5:$AF$41,21,FALSE)</f>
        <v/>
      </c>
      <c r="F18" s="20">
        <f>VLOOKUP(F$4,Dados!$B$5:$AF$41,21,FALSE)</f>
        <v/>
      </c>
      <c r="G18" s="20">
        <f>VLOOKUP(G$4,Dados!$B$5:$AF$41,21,FALSE)</f>
        <v/>
      </c>
      <c r="H18" s="20">
        <f>VLOOKUP(H$4,Dados!$B$5:$AF$41,21,FALSE)</f>
        <v/>
      </c>
      <c r="I18" s="20">
        <f>VLOOKUP(I$4,Dados!$B$5:$AF$41,21,FALSE)</f>
        <v/>
      </c>
      <c r="J18" s="20">
        <f>VLOOKUP(J$4,Dados!$B$5:$AF$41,21,FALSE)</f>
        <v/>
      </c>
      <c r="K18" s="20">
        <f>VLOOKUP(K$4,Dados!$B$5:$AF$41,21,FALSE)</f>
        <v/>
      </c>
      <c r="L18" s="20">
        <f>VLOOKUP(L$4,Dados!$B$5:$AF$41,21,FALSE)</f>
        <v/>
      </c>
      <c r="M18" s="20">
        <f>VLOOKUP(M$4,Dados!$B$5:$AF$41,21,FALSE)</f>
        <v/>
      </c>
      <c r="N18" s="20">
        <f>VLOOKUP(N$4,Dados!$B$5:$AF$41,21,FALSE)</f>
        <v/>
      </c>
    </row>
    <row r="19">
      <c r="B19" s="26" t="inlineStr">
        <is>
          <t>Total a pagar</t>
        </is>
      </c>
      <c r="C19" s="27">
        <f>SUM(C14:C18)</f>
        <v/>
      </c>
      <c r="D19" s="27">
        <f>SUM(D14:D18)</f>
        <v/>
      </c>
      <c r="E19" s="27">
        <f>SUM(E14:E18)</f>
        <v/>
      </c>
      <c r="F19" s="27">
        <f>SUM(F14:F18)</f>
        <v/>
      </c>
      <c r="G19" s="27">
        <f>SUM(G14:G18)</f>
        <v/>
      </c>
      <c r="H19" s="27">
        <f>SUM(H14:H18)</f>
        <v/>
      </c>
      <c r="I19" s="27">
        <f>SUM(I14:I18)</f>
        <v/>
      </c>
      <c r="J19" s="27">
        <f>SUM(J14:J18)</f>
        <v/>
      </c>
      <c r="K19" s="27">
        <f>SUM(K14:K18)</f>
        <v/>
      </c>
      <c r="L19" s="27">
        <f>SUM(L14:L18)</f>
        <v/>
      </c>
      <c r="M19" s="27">
        <f>SUM(M14:M18)</f>
        <v/>
      </c>
      <c r="N19" s="27">
        <f>SUM(N14:N18)</f>
        <v/>
      </c>
    </row>
    <row r="21">
      <c r="B21" s="26" t="inlineStr">
        <is>
          <t>Saldo (a receber − a pagar)</t>
        </is>
      </c>
      <c r="C21" s="27">
        <f>C11-C19</f>
        <v/>
      </c>
      <c r="D21" s="27">
        <f>D11-D19</f>
        <v/>
      </c>
      <c r="E21" s="27">
        <f>E11-E19</f>
        <v/>
      </c>
      <c r="F21" s="27">
        <f>F11-F19</f>
        <v/>
      </c>
      <c r="G21" s="27">
        <f>G11-G19</f>
        <v/>
      </c>
      <c r="H21" s="27">
        <f>H11-H19</f>
        <v/>
      </c>
      <c r="I21" s="27">
        <f>I11-I19</f>
        <v/>
      </c>
      <c r="J21" s="27">
        <f>J11-J19</f>
        <v/>
      </c>
      <c r="K21" s="27">
        <f>K11-K19</f>
        <v/>
      </c>
      <c r="L21" s="27">
        <f>L11-L19</f>
        <v/>
      </c>
      <c r="M21" s="27">
        <f>M11-M19</f>
        <v/>
      </c>
      <c r="N21" s="27">
        <f>N11-N19</f>
        <v/>
      </c>
    </row>
    <row r="22">
      <c r="B22" s="28" t="inlineStr">
        <is>
          <t>Vencido / total a receber</t>
        </is>
      </c>
      <c r="C22" s="30">
        <f>IFERROR((C9+C10)/C11,"")</f>
        <v/>
      </c>
      <c r="D22" s="30">
        <f>IFERROR((D9+D10)/D11,"")</f>
        <v/>
      </c>
      <c r="E22" s="30">
        <f>IFERROR((E9+E10)/E11,"")</f>
        <v/>
      </c>
      <c r="F22" s="30">
        <f>IFERROR((F9+F10)/F11,"")</f>
        <v/>
      </c>
      <c r="G22" s="30">
        <f>IFERROR((G9+G10)/G11,"")</f>
        <v/>
      </c>
      <c r="H22" s="30">
        <f>IFERROR((H9+H10)/H11,"")</f>
        <v/>
      </c>
      <c r="I22" s="30">
        <f>IFERROR((I9+I10)/I11,"")</f>
        <v/>
      </c>
      <c r="J22" s="30">
        <f>IFERROR((J9+J10)/J11,"")</f>
        <v/>
      </c>
      <c r="K22" s="30">
        <f>IFERROR((K9+K10)/K11,"")</f>
        <v/>
      </c>
      <c r="L22" s="30">
        <f>IFERROR((L9+L10)/L11,"")</f>
        <v/>
      </c>
      <c r="M22" s="30">
        <f>IFERROR((M9+M10)/M11,"")</f>
        <v/>
      </c>
      <c r="N22" s="30">
        <f>IFERROR((N9+N10)/N11,"")</f>
        <v/>
      </c>
    </row>
    <row r="23">
      <c r="B23" s="28" t="inlineStr">
        <is>
          <t>Vencido / total a pagar</t>
        </is>
      </c>
      <c r="C23" s="30">
        <f>IFERROR((C17+C18)/C19,"")</f>
        <v/>
      </c>
      <c r="D23" s="30">
        <f>IFERROR((D17+D18)/D19,"")</f>
        <v/>
      </c>
      <c r="E23" s="30">
        <f>IFERROR((E17+E18)/E19,"")</f>
        <v/>
      </c>
      <c r="F23" s="30">
        <f>IFERROR((F17+F18)/F19,"")</f>
        <v/>
      </c>
      <c r="G23" s="30">
        <f>IFERROR((G17+G18)/G19,"")</f>
        <v/>
      </c>
      <c r="H23" s="30">
        <f>IFERROR((H17+H18)/H19,"")</f>
        <v/>
      </c>
      <c r="I23" s="30">
        <f>IFERROR((I17+I18)/I19,"")</f>
        <v/>
      </c>
      <c r="J23" s="30">
        <f>IFERROR((J17+J18)/J19,"")</f>
        <v/>
      </c>
      <c r="K23" s="30">
        <f>IFERROR((K17+K18)/K19,"")</f>
        <v/>
      </c>
      <c r="L23" s="30">
        <f>IFERROR((L17+L18)/L19,"")</f>
        <v/>
      </c>
      <c r="M23" s="30">
        <f>IFERROR((M17+M18)/M19,"")</f>
        <v/>
      </c>
      <c r="N23" s="30">
        <f>IFERROR((N17+N18)/N19,"")</f>
        <v/>
      </c>
    </row>
  </sheetData>
  <conditionalFormatting sqref="N4">
    <cfRule type="expression" priority="1" dxfId="1">
      <formula>TRUE</formula>
    </cfRule>
  </conditionalFormatting>
  <conditionalFormatting sqref="N5:N23">
    <cfRule type="expression" priority="2" dxfId="3">
      <formula>TRUE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&amp;L&amp;"Montserrat"&amp;8 AviZee · Workbook de Fechamento&amp;R&amp;"Montserrat"&amp;8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D08A63"/>
    <outlinePr summaryBelow="1" summaryRight="1"/>
    <pageSetUpPr fitToPage="1"/>
  </sheetPr>
  <dimension ref="B1:H28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" customWidth="1" min="8" max="8"/>
  </cols>
  <sheetData>
    <row r="1" ht="30" customHeight="1">
      <c r="B1" s="24">
        <f>"Estoque · 24 meses até "&amp;Dados!$AI$8</f>
        <v/>
      </c>
    </row>
    <row r="2" ht="16" customHeight="1">
      <c r="B2" s="3" t="inlineStr">
        <is>
          <t>Saldo no fim do mês pelo custo · cobertura: estoque ÷ faturamento médio dos últimos 3 meses · R$</t>
        </is>
      </c>
    </row>
    <row r="3" ht="8" customHeight="1"/>
    <row r="4" ht="28" customHeight="1">
      <c r="B4" s="16" t="inlineStr">
        <is>
          <t>Mês</t>
        </is>
      </c>
      <c r="C4" s="17" t="inlineStr">
        <is>
          <t>Produtos</t>
        </is>
      </c>
      <c r="D4" s="17" t="inlineStr">
        <is>
          <t>Materiais</t>
        </is>
      </c>
      <c r="E4" s="17" t="inlineStr">
        <is>
          <t>Total</t>
        </is>
      </c>
      <c r="F4" s="17" t="inlineStr">
        <is>
          <t>Variação no mês</t>
        </is>
      </c>
      <c r="G4" s="17" t="inlineStr">
        <is>
          <t>Faturamento do mês</t>
        </is>
      </c>
      <c r="H4" s="17" t="inlineStr">
        <is>
          <t>Cobertura (meses)</t>
        </is>
      </c>
    </row>
    <row r="5">
      <c r="B5" s="18">
        <f>VLOOKUP(EOMONTH(Dados!$AI$5,-24)+1,Dados!$A$5:$B$41,2,FALSE)</f>
        <v/>
      </c>
      <c r="C5" s="20">
        <f>VLOOKUP($B5,Dados!$B$5:$AF$41,10,FALSE)</f>
        <v/>
      </c>
      <c r="D5" s="20">
        <f>VLOOKUP($B5,Dados!$B$5:$AF$41,11,FALSE)</f>
        <v/>
      </c>
      <c r="E5" s="39">
        <f>C5+D5</f>
        <v/>
      </c>
      <c r="F5" s="29">
        <f>""</f>
        <v/>
      </c>
      <c r="G5" s="29">
        <f>VLOOKUP($B5,Dados!$B$5:$AF$41,5,FALSE)</f>
        <v/>
      </c>
      <c r="H5" s="34">
        <f>IFERROR(E5/AVERAGE(G5:G5),"")</f>
        <v/>
      </c>
    </row>
    <row r="6">
      <c r="B6" s="18">
        <f>VLOOKUP(EOMONTH(Dados!$AI$5,-23)+1,Dados!$A$5:$B$41,2,FALSE)</f>
        <v/>
      </c>
      <c r="C6" s="20">
        <f>VLOOKUP($B6,Dados!$B$5:$AF$41,10,FALSE)</f>
        <v/>
      </c>
      <c r="D6" s="20">
        <f>VLOOKUP($B6,Dados!$B$5:$AF$41,11,FALSE)</f>
        <v/>
      </c>
      <c r="E6" s="39">
        <f>C6+D6</f>
        <v/>
      </c>
      <c r="F6" s="29">
        <f>E6-E5</f>
        <v/>
      </c>
      <c r="G6" s="29">
        <f>VLOOKUP($B6,Dados!$B$5:$AF$41,5,FALSE)</f>
        <v/>
      </c>
      <c r="H6" s="34">
        <f>IFERROR(E6/AVERAGE(G5:G6),"")</f>
        <v/>
      </c>
    </row>
    <row r="7">
      <c r="B7" s="18">
        <f>VLOOKUP(EOMONTH(Dados!$AI$5,-22)+1,Dados!$A$5:$B$41,2,FALSE)</f>
        <v/>
      </c>
      <c r="C7" s="20">
        <f>VLOOKUP($B7,Dados!$B$5:$AF$41,10,FALSE)</f>
        <v/>
      </c>
      <c r="D7" s="20">
        <f>VLOOKUP($B7,Dados!$B$5:$AF$41,11,FALSE)</f>
        <v/>
      </c>
      <c r="E7" s="39">
        <f>C7+D7</f>
        <v/>
      </c>
      <c r="F7" s="29">
        <f>E7-E6</f>
        <v/>
      </c>
      <c r="G7" s="29">
        <f>VLOOKUP($B7,Dados!$B$5:$AF$41,5,FALSE)</f>
        <v/>
      </c>
      <c r="H7" s="34">
        <f>IFERROR(E7/AVERAGE(G5:G7),"")</f>
        <v/>
      </c>
    </row>
    <row r="8">
      <c r="B8" s="18">
        <f>VLOOKUP(EOMONTH(Dados!$AI$5,-21)+1,Dados!$A$5:$B$41,2,FALSE)</f>
        <v/>
      </c>
      <c r="C8" s="20">
        <f>VLOOKUP($B8,Dados!$B$5:$AF$41,10,FALSE)</f>
        <v/>
      </c>
      <c r="D8" s="20">
        <f>VLOOKUP($B8,Dados!$B$5:$AF$41,11,FALSE)</f>
        <v/>
      </c>
      <c r="E8" s="39">
        <f>C8+D8</f>
        <v/>
      </c>
      <c r="F8" s="29">
        <f>E8-E7</f>
        <v/>
      </c>
      <c r="G8" s="29">
        <f>VLOOKUP($B8,Dados!$B$5:$AF$41,5,FALSE)</f>
        <v/>
      </c>
      <c r="H8" s="34">
        <f>IFERROR(E8/AVERAGE(G6:G8),"")</f>
        <v/>
      </c>
    </row>
    <row r="9">
      <c r="B9" s="18">
        <f>VLOOKUP(EOMONTH(Dados!$AI$5,-20)+1,Dados!$A$5:$B$41,2,FALSE)</f>
        <v/>
      </c>
      <c r="C9" s="20">
        <f>VLOOKUP($B9,Dados!$B$5:$AF$41,10,FALSE)</f>
        <v/>
      </c>
      <c r="D9" s="20">
        <f>VLOOKUP($B9,Dados!$B$5:$AF$41,11,FALSE)</f>
        <v/>
      </c>
      <c r="E9" s="39">
        <f>C9+D9</f>
        <v/>
      </c>
      <c r="F9" s="29">
        <f>E9-E8</f>
        <v/>
      </c>
      <c r="G9" s="29">
        <f>VLOOKUP($B9,Dados!$B$5:$AF$41,5,FALSE)</f>
        <v/>
      </c>
      <c r="H9" s="34">
        <f>IFERROR(E9/AVERAGE(G7:G9),"")</f>
        <v/>
      </c>
    </row>
    <row r="10">
      <c r="B10" s="18">
        <f>VLOOKUP(EOMONTH(Dados!$AI$5,-19)+1,Dados!$A$5:$B$41,2,FALSE)</f>
        <v/>
      </c>
      <c r="C10" s="20">
        <f>VLOOKUP($B10,Dados!$B$5:$AF$41,10,FALSE)</f>
        <v/>
      </c>
      <c r="D10" s="20">
        <f>VLOOKUP($B10,Dados!$B$5:$AF$41,11,FALSE)</f>
        <v/>
      </c>
      <c r="E10" s="39">
        <f>C10+D10</f>
        <v/>
      </c>
      <c r="F10" s="29">
        <f>E10-E9</f>
        <v/>
      </c>
      <c r="G10" s="29">
        <f>VLOOKUP($B10,Dados!$B$5:$AF$41,5,FALSE)</f>
        <v/>
      </c>
      <c r="H10" s="34">
        <f>IFERROR(E10/AVERAGE(G8:G10),"")</f>
        <v/>
      </c>
    </row>
    <row r="11">
      <c r="B11" s="18">
        <f>VLOOKUP(EOMONTH(Dados!$AI$5,-18)+1,Dados!$A$5:$B$41,2,FALSE)</f>
        <v/>
      </c>
      <c r="C11" s="20">
        <f>VLOOKUP($B11,Dados!$B$5:$AF$41,10,FALSE)</f>
        <v/>
      </c>
      <c r="D11" s="20">
        <f>VLOOKUP($B11,Dados!$B$5:$AF$41,11,FALSE)</f>
        <v/>
      </c>
      <c r="E11" s="39">
        <f>C11+D11</f>
        <v/>
      </c>
      <c r="F11" s="29">
        <f>E11-E10</f>
        <v/>
      </c>
      <c r="G11" s="29">
        <f>VLOOKUP($B11,Dados!$B$5:$AF$41,5,FALSE)</f>
        <v/>
      </c>
      <c r="H11" s="34">
        <f>IFERROR(E11/AVERAGE(G9:G11),"")</f>
        <v/>
      </c>
    </row>
    <row r="12">
      <c r="B12" s="18">
        <f>VLOOKUP(EOMONTH(Dados!$AI$5,-17)+1,Dados!$A$5:$B$41,2,FALSE)</f>
        <v/>
      </c>
      <c r="C12" s="20">
        <f>VLOOKUP($B12,Dados!$B$5:$AF$41,10,FALSE)</f>
        <v/>
      </c>
      <c r="D12" s="20">
        <f>VLOOKUP($B12,Dados!$B$5:$AF$41,11,FALSE)</f>
        <v/>
      </c>
      <c r="E12" s="39">
        <f>C12+D12</f>
        <v/>
      </c>
      <c r="F12" s="29">
        <f>E12-E11</f>
        <v/>
      </c>
      <c r="G12" s="29">
        <f>VLOOKUP($B12,Dados!$B$5:$AF$41,5,FALSE)</f>
        <v/>
      </c>
      <c r="H12" s="34">
        <f>IFERROR(E12/AVERAGE(G10:G12),"")</f>
        <v/>
      </c>
    </row>
    <row r="13">
      <c r="B13" s="18">
        <f>VLOOKUP(EOMONTH(Dados!$AI$5,-16)+1,Dados!$A$5:$B$41,2,FALSE)</f>
        <v/>
      </c>
      <c r="C13" s="20">
        <f>VLOOKUP($B13,Dados!$B$5:$AF$41,10,FALSE)</f>
        <v/>
      </c>
      <c r="D13" s="20">
        <f>VLOOKUP($B13,Dados!$B$5:$AF$41,11,FALSE)</f>
        <v/>
      </c>
      <c r="E13" s="39">
        <f>C13+D13</f>
        <v/>
      </c>
      <c r="F13" s="29">
        <f>E13-E12</f>
        <v/>
      </c>
      <c r="G13" s="29">
        <f>VLOOKUP($B13,Dados!$B$5:$AF$41,5,FALSE)</f>
        <v/>
      </c>
      <c r="H13" s="34">
        <f>IFERROR(E13/AVERAGE(G11:G13),"")</f>
        <v/>
      </c>
    </row>
    <row r="14">
      <c r="B14" s="18">
        <f>VLOOKUP(EOMONTH(Dados!$AI$5,-15)+1,Dados!$A$5:$B$41,2,FALSE)</f>
        <v/>
      </c>
      <c r="C14" s="20">
        <f>VLOOKUP($B14,Dados!$B$5:$AF$41,10,FALSE)</f>
        <v/>
      </c>
      <c r="D14" s="20">
        <f>VLOOKUP($B14,Dados!$B$5:$AF$41,11,FALSE)</f>
        <v/>
      </c>
      <c r="E14" s="39">
        <f>C14+D14</f>
        <v/>
      </c>
      <c r="F14" s="29">
        <f>E14-E13</f>
        <v/>
      </c>
      <c r="G14" s="29">
        <f>VLOOKUP($B14,Dados!$B$5:$AF$41,5,FALSE)</f>
        <v/>
      </c>
      <c r="H14" s="34">
        <f>IFERROR(E14/AVERAGE(G12:G14),"")</f>
        <v/>
      </c>
    </row>
    <row r="15">
      <c r="B15" s="18">
        <f>VLOOKUP(EOMONTH(Dados!$AI$5,-14)+1,Dados!$A$5:$B$41,2,FALSE)</f>
        <v/>
      </c>
      <c r="C15" s="20">
        <f>VLOOKUP($B15,Dados!$B$5:$AF$41,10,FALSE)</f>
        <v/>
      </c>
      <c r="D15" s="20">
        <f>VLOOKUP($B15,Dados!$B$5:$AF$41,11,FALSE)</f>
        <v/>
      </c>
      <c r="E15" s="39">
        <f>C15+D15</f>
        <v/>
      </c>
      <c r="F15" s="29">
        <f>E15-E14</f>
        <v/>
      </c>
      <c r="G15" s="29">
        <f>VLOOKUP($B15,Dados!$B$5:$AF$41,5,FALSE)</f>
        <v/>
      </c>
      <c r="H15" s="34">
        <f>IFERROR(E15/AVERAGE(G13:G15),"")</f>
        <v/>
      </c>
    </row>
    <row r="16">
      <c r="B16" s="18">
        <f>VLOOKUP(EOMONTH(Dados!$AI$5,-13)+1,Dados!$A$5:$B$41,2,FALSE)</f>
        <v/>
      </c>
      <c r="C16" s="20">
        <f>VLOOKUP($B16,Dados!$B$5:$AF$41,10,FALSE)</f>
        <v/>
      </c>
      <c r="D16" s="20">
        <f>VLOOKUP($B16,Dados!$B$5:$AF$41,11,FALSE)</f>
        <v/>
      </c>
      <c r="E16" s="39">
        <f>C16+D16</f>
        <v/>
      </c>
      <c r="F16" s="29">
        <f>E16-E15</f>
        <v/>
      </c>
      <c r="G16" s="29">
        <f>VLOOKUP($B16,Dados!$B$5:$AF$41,5,FALSE)</f>
        <v/>
      </c>
      <c r="H16" s="34">
        <f>IFERROR(E16/AVERAGE(G14:G16),"")</f>
        <v/>
      </c>
    </row>
    <row r="17">
      <c r="B17" s="18">
        <f>VLOOKUP(EOMONTH(Dados!$AI$5,-12)+1,Dados!$A$5:$B$41,2,FALSE)</f>
        <v/>
      </c>
      <c r="C17" s="20">
        <f>VLOOKUP($B17,Dados!$B$5:$AF$41,10,FALSE)</f>
        <v/>
      </c>
      <c r="D17" s="20">
        <f>VLOOKUP($B17,Dados!$B$5:$AF$41,11,FALSE)</f>
        <v/>
      </c>
      <c r="E17" s="39">
        <f>C17+D17</f>
        <v/>
      </c>
      <c r="F17" s="29">
        <f>E17-E16</f>
        <v/>
      </c>
      <c r="G17" s="29">
        <f>VLOOKUP($B17,Dados!$B$5:$AF$41,5,FALSE)</f>
        <v/>
      </c>
      <c r="H17" s="34">
        <f>IFERROR(E17/AVERAGE(G15:G17),"")</f>
        <v/>
      </c>
    </row>
    <row r="18">
      <c r="B18" s="18">
        <f>VLOOKUP(EOMONTH(Dados!$AI$5,-11)+1,Dados!$A$5:$B$41,2,FALSE)</f>
        <v/>
      </c>
      <c r="C18" s="20">
        <f>VLOOKUP($B18,Dados!$B$5:$AF$41,10,FALSE)</f>
        <v/>
      </c>
      <c r="D18" s="20">
        <f>VLOOKUP($B18,Dados!$B$5:$AF$41,11,FALSE)</f>
        <v/>
      </c>
      <c r="E18" s="39">
        <f>C18+D18</f>
        <v/>
      </c>
      <c r="F18" s="29">
        <f>E18-E17</f>
        <v/>
      </c>
      <c r="G18" s="29">
        <f>VLOOKUP($B18,Dados!$B$5:$AF$41,5,FALSE)</f>
        <v/>
      </c>
      <c r="H18" s="34">
        <f>IFERROR(E18/AVERAGE(G16:G18),"")</f>
        <v/>
      </c>
    </row>
    <row r="19">
      <c r="B19" s="18">
        <f>VLOOKUP(EOMONTH(Dados!$AI$5,-10)+1,Dados!$A$5:$B$41,2,FALSE)</f>
        <v/>
      </c>
      <c r="C19" s="20">
        <f>VLOOKUP($B19,Dados!$B$5:$AF$41,10,FALSE)</f>
        <v/>
      </c>
      <c r="D19" s="20">
        <f>VLOOKUP($B19,Dados!$B$5:$AF$41,11,FALSE)</f>
        <v/>
      </c>
      <c r="E19" s="39">
        <f>C19+D19</f>
        <v/>
      </c>
      <c r="F19" s="29">
        <f>E19-E18</f>
        <v/>
      </c>
      <c r="G19" s="29">
        <f>VLOOKUP($B19,Dados!$B$5:$AF$41,5,FALSE)</f>
        <v/>
      </c>
      <c r="H19" s="34">
        <f>IFERROR(E19/AVERAGE(G17:G19),"")</f>
        <v/>
      </c>
    </row>
    <row r="20">
      <c r="B20" s="18">
        <f>VLOOKUP(EOMONTH(Dados!$AI$5,-9)+1,Dados!$A$5:$B$41,2,FALSE)</f>
        <v/>
      </c>
      <c r="C20" s="20">
        <f>VLOOKUP($B20,Dados!$B$5:$AF$41,10,FALSE)</f>
        <v/>
      </c>
      <c r="D20" s="20">
        <f>VLOOKUP($B20,Dados!$B$5:$AF$41,11,FALSE)</f>
        <v/>
      </c>
      <c r="E20" s="39">
        <f>C20+D20</f>
        <v/>
      </c>
      <c r="F20" s="29">
        <f>E20-E19</f>
        <v/>
      </c>
      <c r="G20" s="29">
        <f>VLOOKUP($B20,Dados!$B$5:$AF$41,5,FALSE)</f>
        <v/>
      </c>
      <c r="H20" s="34">
        <f>IFERROR(E20/AVERAGE(G18:G20),"")</f>
        <v/>
      </c>
    </row>
    <row r="21">
      <c r="B21" s="18">
        <f>VLOOKUP(EOMONTH(Dados!$AI$5,-8)+1,Dados!$A$5:$B$41,2,FALSE)</f>
        <v/>
      </c>
      <c r="C21" s="20">
        <f>VLOOKUP($B21,Dados!$B$5:$AF$41,10,FALSE)</f>
        <v/>
      </c>
      <c r="D21" s="20">
        <f>VLOOKUP($B21,Dados!$B$5:$AF$41,11,FALSE)</f>
        <v/>
      </c>
      <c r="E21" s="39">
        <f>C21+D21</f>
        <v/>
      </c>
      <c r="F21" s="29">
        <f>E21-E20</f>
        <v/>
      </c>
      <c r="G21" s="29">
        <f>VLOOKUP($B21,Dados!$B$5:$AF$41,5,FALSE)</f>
        <v/>
      </c>
      <c r="H21" s="34">
        <f>IFERROR(E21/AVERAGE(G19:G21),"")</f>
        <v/>
      </c>
    </row>
    <row r="22">
      <c r="B22" s="18">
        <f>VLOOKUP(EOMONTH(Dados!$AI$5,-7)+1,Dados!$A$5:$B$41,2,FALSE)</f>
        <v/>
      </c>
      <c r="C22" s="20">
        <f>VLOOKUP($B22,Dados!$B$5:$AF$41,10,FALSE)</f>
        <v/>
      </c>
      <c r="D22" s="20">
        <f>VLOOKUP($B22,Dados!$B$5:$AF$41,11,FALSE)</f>
        <v/>
      </c>
      <c r="E22" s="39">
        <f>C22+D22</f>
        <v/>
      </c>
      <c r="F22" s="29">
        <f>E22-E21</f>
        <v/>
      </c>
      <c r="G22" s="29">
        <f>VLOOKUP($B22,Dados!$B$5:$AF$41,5,FALSE)</f>
        <v/>
      </c>
      <c r="H22" s="34">
        <f>IFERROR(E22/AVERAGE(G20:G22),"")</f>
        <v/>
      </c>
    </row>
    <row r="23">
      <c r="B23" s="18">
        <f>VLOOKUP(EOMONTH(Dados!$AI$5,-6)+1,Dados!$A$5:$B$41,2,FALSE)</f>
        <v/>
      </c>
      <c r="C23" s="20">
        <f>VLOOKUP($B23,Dados!$B$5:$AF$41,10,FALSE)</f>
        <v/>
      </c>
      <c r="D23" s="20">
        <f>VLOOKUP($B23,Dados!$B$5:$AF$41,11,FALSE)</f>
        <v/>
      </c>
      <c r="E23" s="39">
        <f>C23+D23</f>
        <v/>
      </c>
      <c r="F23" s="29">
        <f>E23-E22</f>
        <v/>
      </c>
      <c r="G23" s="29">
        <f>VLOOKUP($B23,Dados!$B$5:$AF$41,5,FALSE)</f>
        <v/>
      </c>
      <c r="H23" s="34">
        <f>IFERROR(E23/AVERAGE(G21:G23),"")</f>
        <v/>
      </c>
    </row>
    <row r="24">
      <c r="B24" s="18">
        <f>VLOOKUP(EOMONTH(Dados!$AI$5,-5)+1,Dados!$A$5:$B$41,2,FALSE)</f>
        <v/>
      </c>
      <c r="C24" s="20">
        <f>VLOOKUP($B24,Dados!$B$5:$AF$41,10,FALSE)</f>
        <v/>
      </c>
      <c r="D24" s="20">
        <f>VLOOKUP($B24,Dados!$B$5:$AF$41,11,FALSE)</f>
        <v/>
      </c>
      <c r="E24" s="39">
        <f>C24+D24</f>
        <v/>
      </c>
      <c r="F24" s="29">
        <f>E24-E23</f>
        <v/>
      </c>
      <c r="G24" s="29">
        <f>VLOOKUP($B24,Dados!$B$5:$AF$41,5,FALSE)</f>
        <v/>
      </c>
      <c r="H24" s="34">
        <f>IFERROR(E24/AVERAGE(G22:G24),"")</f>
        <v/>
      </c>
    </row>
    <row r="25">
      <c r="B25" s="18">
        <f>VLOOKUP(EOMONTH(Dados!$AI$5,-4)+1,Dados!$A$5:$B$41,2,FALSE)</f>
        <v/>
      </c>
      <c r="C25" s="20">
        <f>VLOOKUP($B25,Dados!$B$5:$AF$41,10,FALSE)</f>
        <v/>
      </c>
      <c r="D25" s="20">
        <f>VLOOKUP($B25,Dados!$B$5:$AF$41,11,FALSE)</f>
        <v/>
      </c>
      <c r="E25" s="39">
        <f>C25+D25</f>
        <v/>
      </c>
      <c r="F25" s="29">
        <f>E25-E24</f>
        <v/>
      </c>
      <c r="G25" s="29">
        <f>VLOOKUP($B25,Dados!$B$5:$AF$41,5,FALSE)</f>
        <v/>
      </c>
      <c r="H25" s="34">
        <f>IFERROR(E25/AVERAGE(G23:G25),"")</f>
        <v/>
      </c>
    </row>
    <row r="26">
      <c r="B26" s="18">
        <f>VLOOKUP(EOMONTH(Dados!$AI$5,-3)+1,Dados!$A$5:$B$41,2,FALSE)</f>
        <v/>
      </c>
      <c r="C26" s="20">
        <f>VLOOKUP($B26,Dados!$B$5:$AF$41,10,FALSE)</f>
        <v/>
      </c>
      <c r="D26" s="20">
        <f>VLOOKUP($B26,Dados!$B$5:$AF$41,11,FALSE)</f>
        <v/>
      </c>
      <c r="E26" s="39">
        <f>C26+D26</f>
        <v/>
      </c>
      <c r="F26" s="29">
        <f>E26-E25</f>
        <v/>
      </c>
      <c r="G26" s="29">
        <f>VLOOKUP($B26,Dados!$B$5:$AF$41,5,FALSE)</f>
        <v/>
      </c>
      <c r="H26" s="34">
        <f>IFERROR(E26/AVERAGE(G24:G26),"")</f>
        <v/>
      </c>
    </row>
    <row r="27">
      <c r="B27" s="18">
        <f>VLOOKUP(EOMONTH(Dados!$AI$5,-2)+1,Dados!$A$5:$B$41,2,FALSE)</f>
        <v/>
      </c>
      <c r="C27" s="20">
        <f>VLOOKUP($B27,Dados!$B$5:$AF$41,10,FALSE)</f>
        <v/>
      </c>
      <c r="D27" s="20">
        <f>VLOOKUP($B27,Dados!$B$5:$AF$41,11,FALSE)</f>
        <v/>
      </c>
      <c r="E27" s="39">
        <f>C27+D27</f>
        <v/>
      </c>
      <c r="F27" s="29">
        <f>E27-E26</f>
        <v/>
      </c>
      <c r="G27" s="29">
        <f>VLOOKUP($B27,Dados!$B$5:$AF$41,5,FALSE)</f>
        <v/>
      </c>
      <c r="H27" s="34">
        <f>IFERROR(E27/AVERAGE(G25:G27),"")</f>
        <v/>
      </c>
    </row>
    <row r="28">
      <c r="B28" s="40">
        <f>VLOOKUP(EOMONTH(Dados!$AI$5,-1)+1,Dados!$A$5:$B$41,2,FALSE)</f>
        <v/>
      </c>
      <c r="C28" s="41">
        <f>VLOOKUP($B28,Dados!$B$5:$AF$41,10,FALSE)</f>
        <v/>
      </c>
      <c r="D28" s="41">
        <f>VLOOKUP($B28,Dados!$B$5:$AF$41,11,FALSE)</f>
        <v/>
      </c>
      <c r="E28" s="41">
        <f>C28+D28</f>
        <v/>
      </c>
      <c r="F28" s="42">
        <f>E28-E27</f>
        <v/>
      </c>
      <c r="G28" s="42">
        <f>VLOOKUP($B28,Dados!$B$5:$AF$41,5,FALSE)</f>
        <v/>
      </c>
      <c r="H28" s="43">
        <f>IFERROR(E28/AVERAGE(G26:G28),"")</f>
        <v/>
      </c>
    </row>
  </sheetData>
  <printOptions horizontalCentered="1"/>
  <pageMargins left="0.4" right="0.4" top="0.5" bottom="0.5" header="0.5" footer="0.5"/>
  <pageSetup orientation="landscape" paperSize="9" fitToHeight="0" fitToWidth="1"/>
  <headerFooter>
    <oddHeader/>
    <oddFooter>&amp;L&amp;"Montserrat"&amp;8 AviZee · Workbook de Fechamento&amp;R&amp;"Montserrat"&amp;8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690500"/>
    <outlinePr summaryBelow="1" summaryRight="1"/>
    <pageSetUpPr fitToPage="1"/>
  </sheetPr>
  <dimension ref="B1:P18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1.5" customWidth="1" min="15" max="15"/>
    <col width="11" customWidth="1" min="16" max="16"/>
  </cols>
  <sheetData>
    <row r="1" ht="30" customHeight="1">
      <c r="B1" s="24">
        <f>"Sócios · "&amp;Dados!$AI$7</f>
        <v/>
      </c>
    </row>
    <row r="2" ht="16" customHeight="1">
      <c r="B2" s="3" t="inlineStr">
        <is>
          <t>Retiradas (pró-labore) aprovadas no mês · resultado atribuído: resultado do ano até o mês × participação · R$</t>
        </is>
      </c>
    </row>
    <row r="3" ht="8" customHeight="1"/>
    <row r="4" ht="20" customHeight="1">
      <c r="B4" s="16" t="inlineStr">
        <is>
          <t>Sócio</t>
        </is>
      </c>
      <c r="C4" s="17" t="inlineStr">
        <is>
          <t>jan</t>
        </is>
      </c>
      <c r="D4" s="17" t="inlineStr">
        <is>
          <t>fev</t>
        </is>
      </c>
      <c r="E4" s="17" t="inlineStr">
        <is>
          <t>mar</t>
        </is>
      </c>
      <c r="F4" s="17" t="inlineStr">
        <is>
          <t>abr</t>
        </is>
      </c>
      <c r="G4" s="17" t="inlineStr">
        <is>
          <t>mai</t>
        </is>
      </c>
      <c r="H4" s="17" t="inlineStr">
        <is>
          <t>jun</t>
        </is>
      </c>
      <c r="I4" s="17" t="inlineStr">
        <is>
          <t>jul</t>
        </is>
      </c>
      <c r="J4" s="17" t="inlineStr">
        <is>
          <t>ago</t>
        </is>
      </c>
      <c r="K4" s="17" t="inlineStr">
        <is>
          <t>set</t>
        </is>
      </c>
      <c r="L4" s="17" t="inlineStr">
        <is>
          <t>out</t>
        </is>
      </c>
      <c r="M4" s="17" t="inlineStr">
        <is>
          <t>nov</t>
        </is>
      </c>
      <c r="N4" s="17" t="inlineStr">
        <is>
          <t>dez</t>
        </is>
      </c>
      <c r="O4" s="17" t="inlineStr">
        <is>
          <t>Ano</t>
        </is>
      </c>
      <c r="P4" s="17" t="inlineStr">
        <is>
          <t>Participação</t>
        </is>
      </c>
    </row>
    <row r="5">
      <c r="B5" s="15" t="inlineStr">
        <is>
          <t>Retiradas</t>
        </is>
      </c>
    </row>
    <row r="6">
      <c r="B6" s="18">
        <f>IF(Dados!$AI$19="","",Dados!$AI$19)</f>
        <v/>
      </c>
      <c r="C6" s="20">
        <f>IF(OR($B6="",Dados!$C$30&lt;&gt;1),"",Dados!$Y$30)</f>
        <v/>
      </c>
      <c r="D6" s="20">
        <f>IF(OR($B6="",Dados!$C$31&lt;&gt;1),"",Dados!$Y$31)</f>
        <v/>
      </c>
      <c r="E6" s="20">
        <f>IF(OR($B6="",Dados!$C$32&lt;&gt;1),"",Dados!$Y$32)</f>
        <v/>
      </c>
      <c r="F6" s="20">
        <f>IF(OR($B6="",Dados!$C$33&lt;&gt;1),"",Dados!$Y$33)</f>
        <v/>
      </c>
      <c r="G6" s="20">
        <f>IF(OR($B6="",Dados!$C$34&lt;&gt;1),"",Dados!$Y$34)</f>
        <v/>
      </c>
      <c r="H6" s="20">
        <f>IF(OR($B6="",Dados!$C$35&lt;&gt;1),"",Dados!$Y$35)</f>
        <v/>
      </c>
      <c r="I6" s="20">
        <f>IF(OR($B6="",Dados!$C$36&lt;&gt;1),"",Dados!$Y$36)</f>
        <v/>
      </c>
      <c r="J6" s="20">
        <f>IF(OR($B6="",Dados!$C$37&lt;&gt;1),"",Dados!$Y$37)</f>
        <v/>
      </c>
      <c r="K6" s="20">
        <f>IF(OR($B6="",Dados!$C$38&lt;&gt;1),"",Dados!$Y$38)</f>
        <v/>
      </c>
      <c r="L6" s="20">
        <f>IF(OR($B6="",Dados!$C$39&lt;&gt;1),"",Dados!$Y$39)</f>
        <v/>
      </c>
      <c r="M6" s="20">
        <f>IF(OR($B6="",Dados!$C$40&lt;&gt;1),"",Dados!$Y$40)</f>
        <v/>
      </c>
      <c r="N6" s="20">
        <f>IF(OR($B6="",Dados!$C$41&lt;&gt;1),"",Dados!$Y$41)</f>
        <v/>
      </c>
      <c r="O6" s="20">
        <f>IF($B6="","",SUM(C6:N6))</f>
        <v/>
      </c>
      <c r="P6" s="30">
        <f>IF($B6="","",Dados!$AI$23)</f>
        <v/>
      </c>
    </row>
    <row r="7">
      <c r="B7" s="18">
        <f>IF(Dados!$AI$20="","",Dados!$AI$20)</f>
        <v/>
      </c>
      <c r="C7" s="20">
        <f>IF(OR($B7="",Dados!$C$30&lt;&gt;1),"",Dados!$Z$30)</f>
        <v/>
      </c>
      <c r="D7" s="20">
        <f>IF(OR($B7="",Dados!$C$31&lt;&gt;1),"",Dados!$Z$31)</f>
        <v/>
      </c>
      <c r="E7" s="20">
        <f>IF(OR($B7="",Dados!$C$32&lt;&gt;1),"",Dados!$Z$32)</f>
        <v/>
      </c>
      <c r="F7" s="20">
        <f>IF(OR($B7="",Dados!$C$33&lt;&gt;1),"",Dados!$Z$33)</f>
        <v/>
      </c>
      <c r="G7" s="20">
        <f>IF(OR($B7="",Dados!$C$34&lt;&gt;1),"",Dados!$Z$34)</f>
        <v/>
      </c>
      <c r="H7" s="20">
        <f>IF(OR($B7="",Dados!$C$35&lt;&gt;1),"",Dados!$Z$35)</f>
        <v/>
      </c>
      <c r="I7" s="20">
        <f>IF(OR($B7="",Dados!$C$36&lt;&gt;1),"",Dados!$Z$36)</f>
        <v/>
      </c>
      <c r="J7" s="20">
        <f>IF(OR($B7="",Dados!$C$37&lt;&gt;1),"",Dados!$Z$37)</f>
        <v/>
      </c>
      <c r="K7" s="20">
        <f>IF(OR($B7="",Dados!$C$38&lt;&gt;1),"",Dados!$Z$38)</f>
        <v/>
      </c>
      <c r="L7" s="20">
        <f>IF(OR($B7="",Dados!$C$39&lt;&gt;1),"",Dados!$Z$39)</f>
        <v/>
      </c>
      <c r="M7" s="20">
        <f>IF(OR($B7="",Dados!$C$40&lt;&gt;1),"",Dados!$Z$40)</f>
        <v/>
      </c>
      <c r="N7" s="20">
        <f>IF(OR($B7="",Dados!$C$41&lt;&gt;1),"",Dados!$Z$41)</f>
        <v/>
      </c>
      <c r="O7" s="20">
        <f>IF($B7="","",SUM(C7:N7))</f>
        <v/>
      </c>
      <c r="P7" s="30">
        <f>IF($B7="","",Dados!$AI$24)</f>
        <v/>
      </c>
    </row>
    <row r="8">
      <c r="B8" s="18">
        <f>IF(Dados!$AI$21="","",Dados!$AI$21)</f>
        <v/>
      </c>
      <c r="C8" s="20">
        <f>IF(OR($B8="",Dados!$C$30&lt;&gt;1),"",Dados!$AA$30)</f>
        <v/>
      </c>
      <c r="D8" s="20">
        <f>IF(OR($B8="",Dados!$C$31&lt;&gt;1),"",Dados!$AA$31)</f>
        <v/>
      </c>
      <c r="E8" s="20">
        <f>IF(OR($B8="",Dados!$C$32&lt;&gt;1),"",Dados!$AA$32)</f>
        <v/>
      </c>
      <c r="F8" s="20">
        <f>IF(OR($B8="",Dados!$C$33&lt;&gt;1),"",Dados!$AA$33)</f>
        <v/>
      </c>
      <c r="G8" s="20">
        <f>IF(OR($B8="",Dados!$C$34&lt;&gt;1),"",Dados!$AA$34)</f>
        <v/>
      </c>
      <c r="H8" s="20">
        <f>IF(OR($B8="",Dados!$C$35&lt;&gt;1),"",Dados!$AA$35)</f>
        <v/>
      </c>
      <c r="I8" s="20">
        <f>IF(OR($B8="",Dados!$C$36&lt;&gt;1),"",Dados!$AA$36)</f>
        <v/>
      </c>
      <c r="J8" s="20">
        <f>IF(OR($B8="",Dados!$C$37&lt;&gt;1),"",Dados!$AA$37)</f>
        <v/>
      </c>
      <c r="K8" s="20">
        <f>IF(OR($B8="",Dados!$C$38&lt;&gt;1),"",Dados!$AA$38)</f>
        <v/>
      </c>
      <c r="L8" s="20">
        <f>IF(OR($B8="",Dados!$C$39&lt;&gt;1),"",Dados!$AA$39)</f>
        <v/>
      </c>
      <c r="M8" s="20">
        <f>IF(OR($B8="",Dados!$C$40&lt;&gt;1),"",Dados!$AA$40)</f>
        <v/>
      </c>
      <c r="N8" s="20">
        <f>IF(OR($B8="",Dados!$C$41&lt;&gt;1),"",Dados!$AA$41)</f>
        <v/>
      </c>
      <c r="O8" s="20">
        <f>IF($B8="","",SUM(C8:N8))</f>
        <v/>
      </c>
      <c r="P8" s="30">
        <f>IF($B8="","",Dados!$AI$25)</f>
        <v/>
      </c>
    </row>
    <row r="9">
      <c r="B9" s="18">
        <f>IF(Dados!$AI$22="","",Dados!$AI$22)</f>
        <v/>
      </c>
      <c r="C9" s="20">
        <f>IF(OR($B9="",Dados!$C$30&lt;&gt;1),"",Dados!$AB$30)</f>
        <v/>
      </c>
      <c r="D9" s="20">
        <f>IF(OR($B9="",Dados!$C$31&lt;&gt;1),"",Dados!$AB$31)</f>
        <v/>
      </c>
      <c r="E9" s="20">
        <f>IF(OR($B9="",Dados!$C$32&lt;&gt;1),"",Dados!$AB$32)</f>
        <v/>
      </c>
      <c r="F9" s="20">
        <f>IF(OR($B9="",Dados!$C$33&lt;&gt;1),"",Dados!$AB$33)</f>
        <v/>
      </c>
      <c r="G9" s="20">
        <f>IF(OR($B9="",Dados!$C$34&lt;&gt;1),"",Dados!$AB$34)</f>
        <v/>
      </c>
      <c r="H9" s="20">
        <f>IF(OR($B9="",Dados!$C$35&lt;&gt;1),"",Dados!$AB$35)</f>
        <v/>
      </c>
      <c r="I9" s="20">
        <f>IF(OR($B9="",Dados!$C$36&lt;&gt;1),"",Dados!$AB$36)</f>
        <v/>
      </c>
      <c r="J9" s="20">
        <f>IF(OR($B9="",Dados!$C$37&lt;&gt;1),"",Dados!$AB$37)</f>
        <v/>
      </c>
      <c r="K9" s="20">
        <f>IF(OR($B9="",Dados!$C$38&lt;&gt;1),"",Dados!$AB$38)</f>
        <v/>
      </c>
      <c r="L9" s="20">
        <f>IF(OR($B9="",Dados!$C$39&lt;&gt;1),"",Dados!$AB$39)</f>
        <v/>
      </c>
      <c r="M9" s="20">
        <f>IF(OR($B9="",Dados!$C$40&lt;&gt;1),"",Dados!$AB$40)</f>
        <v/>
      </c>
      <c r="N9" s="20">
        <f>IF(OR($B9="",Dados!$C$41&lt;&gt;1),"",Dados!$AB$41)</f>
        <v/>
      </c>
      <c r="O9" s="20">
        <f>IF($B9="","",SUM(C9:N9))</f>
        <v/>
      </c>
      <c r="P9" s="30">
        <f>IF($B9="","",Dados!$AI$26)</f>
        <v/>
      </c>
    </row>
    <row r="10">
      <c r="B10" s="26" t="inlineStr">
        <is>
          <t>Total de retiradas</t>
        </is>
      </c>
      <c r="C10" s="27">
        <f>IF(Dados!$C$30=1,SUM(C6:C9),"")</f>
        <v/>
      </c>
      <c r="D10" s="27">
        <f>IF(Dados!$C$31=1,SUM(D6:D9),"")</f>
        <v/>
      </c>
      <c r="E10" s="27">
        <f>IF(Dados!$C$32=1,SUM(E6:E9),"")</f>
        <v/>
      </c>
      <c r="F10" s="27">
        <f>IF(Dados!$C$33=1,SUM(F6:F9),"")</f>
        <v/>
      </c>
      <c r="G10" s="27">
        <f>IF(Dados!$C$34=1,SUM(G6:G9),"")</f>
        <v/>
      </c>
      <c r="H10" s="27">
        <f>IF(Dados!$C$35=1,SUM(H6:H9),"")</f>
        <v/>
      </c>
      <c r="I10" s="27">
        <f>IF(Dados!$C$36=1,SUM(I6:I9),"")</f>
        <v/>
      </c>
      <c r="J10" s="27">
        <f>IF(Dados!$C$37=1,SUM(J6:J9),"")</f>
        <v/>
      </c>
      <c r="K10" s="27">
        <f>IF(Dados!$C$38=1,SUM(K6:K9),"")</f>
        <v/>
      </c>
      <c r="L10" s="27">
        <f>IF(Dados!$C$39=1,SUM(L6:L9),"")</f>
        <v/>
      </c>
      <c r="M10" s="27">
        <f>IF(Dados!$C$40=1,SUM(M6:M9),"")</f>
        <v/>
      </c>
      <c r="N10" s="27">
        <f>IF(Dados!$C$41=1,SUM(N6:N9),"")</f>
        <v/>
      </c>
      <c r="O10" s="27">
        <f>SUM(O6:O9)</f>
        <v/>
      </c>
      <c r="P10" s="35">
        <f>SUM(P6:P9)</f>
        <v/>
      </c>
    </row>
    <row r="12">
      <c r="B12" s="15" t="inlineStr">
        <is>
          <t>Resultado do ano atribuído</t>
        </is>
      </c>
    </row>
    <row r="13">
      <c r="B13" s="18">
        <f>B6</f>
        <v/>
      </c>
      <c r="C13" s="20">
        <f>IF(OR($B13="",Dados!$C$30&lt;&gt;1),"",Dados!$AC$30)</f>
        <v/>
      </c>
      <c r="D13" s="20">
        <f>IF(OR($B13="",Dados!$C$31&lt;&gt;1),"",Dados!$AC$31)</f>
        <v/>
      </c>
      <c r="E13" s="20">
        <f>IF(OR($B13="",Dados!$C$32&lt;&gt;1),"",Dados!$AC$32)</f>
        <v/>
      </c>
      <c r="F13" s="20">
        <f>IF(OR($B13="",Dados!$C$33&lt;&gt;1),"",Dados!$AC$33)</f>
        <v/>
      </c>
      <c r="G13" s="20">
        <f>IF(OR($B13="",Dados!$C$34&lt;&gt;1),"",Dados!$AC$34)</f>
        <v/>
      </c>
      <c r="H13" s="20">
        <f>IF(OR($B13="",Dados!$C$35&lt;&gt;1),"",Dados!$AC$35)</f>
        <v/>
      </c>
      <c r="I13" s="20">
        <f>IF(OR($B13="",Dados!$C$36&lt;&gt;1),"",Dados!$AC$36)</f>
        <v/>
      </c>
      <c r="J13" s="20">
        <f>IF(OR($B13="",Dados!$C$37&lt;&gt;1),"",Dados!$AC$37)</f>
        <v/>
      </c>
      <c r="K13" s="20">
        <f>IF(OR($B13="",Dados!$C$38&lt;&gt;1),"",Dados!$AC$38)</f>
        <v/>
      </c>
      <c r="L13" s="20">
        <f>IF(OR($B13="",Dados!$C$39&lt;&gt;1),"",Dados!$AC$39)</f>
        <v/>
      </c>
      <c r="M13" s="20">
        <f>IF(OR($B13="",Dados!$C$40&lt;&gt;1),"",Dados!$AC$40)</f>
        <v/>
      </c>
      <c r="N13" s="20">
        <f>IF(OR($B13="",Dados!$C$41&lt;&gt;1),"",Dados!$AC$41)</f>
        <v/>
      </c>
      <c r="O13" s="20">
        <f>IF($B13="","",VLOOKUP(Dados!$AI$5,Dados!$A$5:$AF$41,29,FALSE))</f>
        <v/>
      </c>
    </row>
    <row r="14">
      <c r="B14" s="18">
        <f>B7</f>
        <v/>
      </c>
      <c r="C14" s="20">
        <f>IF(OR($B14="",Dados!$C$30&lt;&gt;1),"",Dados!$AD$30)</f>
        <v/>
      </c>
      <c r="D14" s="20">
        <f>IF(OR($B14="",Dados!$C$31&lt;&gt;1),"",Dados!$AD$31)</f>
        <v/>
      </c>
      <c r="E14" s="20">
        <f>IF(OR($B14="",Dados!$C$32&lt;&gt;1),"",Dados!$AD$32)</f>
        <v/>
      </c>
      <c r="F14" s="20">
        <f>IF(OR($B14="",Dados!$C$33&lt;&gt;1),"",Dados!$AD$33)</f>
        <v/>
      </c>
      <c r="G14" s="20">
        <f>IF(OR($B14="",Dados!$C$34&lt;&gt;1),"",Dados!$AD$34)</f>
        <v/>
      </c>
      <c r="H14" s="20">
        <f>IF(OR($B14="",Dados!$C$35&lt;&gt;1),"",Dados!$AD$35)</f>
        <v/>
      </c>
      <c r="I14" s="20">
        <f>IF(OR($B14="",Dados!$C$36&lt;&gt;1),"",Dados!$AD$36)</f>
        <v/>
      </c>
      <c r="J14" s="20">
        <f>IF(OR($B14="",Dados!$C$37&lt;&gt;1),"",Dados!$AD$37)</f>
        <v/>
      </c>
      <c r="K14" s="20">
        <f>IF(OR($B14="",Dados!$C$38&lt;&gt;1),"",Dados!$AD$38)</f>
        <v/>
      </c>
      <c r="L14" s="20">
        <f>IF(OR($B14="",Dados!$C$39&lt;&gt;1),"",Dados!$AD$39)</f>
        <v/>
      </c>
      <c r="M14" s="20">
        <f>IF(OR($B14="",Dados!$C$40&lt;&gt;1),"",Dados!$AD$40)</f>
        <v/>
      </c>
      <c r="N14" s="20">
        <f>IF(OR($B14="",Dados!$C$41&lt;&gt;1),"",Dados!$AD$41)</f>
        <v/>
      </c>
      <c r="O14" s="20">
        <f>IF($B14="","",VLOOKUP(Dados!$AI$5,Dados!$A$5:$AF$41,30,FALSE))</f>
        <v/>
      </c>
    </row>
    <row r="15">
      <c r="B15" s="18">
        <f>B8</f>
        <v/>
      </c>
      <c r="C15" s="20">
        <f>IF(OR($B15="",Dados!$C$30&lt;&gt;1),"",Dados!$AE$30)</f>
        <v/>
      </c>
      <c r="D15" s="20">
        <f>IF(OR($B15="",Dados!$C$31&lt;&gt;1),"",Dados!$AE$31)</f>
        <v/>
      </c>
      <c r="E15" s="20">
        <f>IF(OR($B15="",Dados!$C$32&lt;&gt;1),"",Dados!$AE$32)</f>
        <v/>
      </c>
      <c r="F15" s="20">
        <f>IF(OR($B15="",Dados!$C$33&lt;&gt;1),"",Dados!$AE$33)</f>
        <v/>
      </c>
      <c r="G15" s="20">
        <f>IF(OR($B15="",Dados!$C$34&lt;&gt;1),"",Dados!$AE$34)</f>
        <v/>
      </c>
      <c r="H15" s="20">
        <f>IF(OR($B15="",Dados!$C$35&lt;&gt;1),"",Dados!$AE$35)</f>
        <v/>
      </c>
      <c r="I15" s="20">
        <f>IF(OR($B15="",Dados!$C$36&lt;&gt;1),"",Dados!$AE$36)</f>
        <v/>
      </c>
      <c r="J15" s="20">
        <f>IF(OR($B15="",Dados!$C$37&lt;&gt;1),"",Dados!$AE$37)</f>
        <v/>
      </c>
      <c r="K15" s="20">
        <f>IF(OR($B15="",Dados!$C$38&lt;&gt;1),"",Dados!$AE$38)</f>
        <v/>
      </c>
      <c r="L15" s="20">
        <f>IF(OR($B15="",Dados!$C$39&lt;&gt;1),"",Dados!$AE$39)</f>
        <v/>
      </c>
      <c r="M15" s="20">
        <f>IF(OR($B15="",Dados!$C$40&lt;&gt;1),"",Dados!$AE$40)</f>
        <v/>
      </c>
      <c r="N15" s="20">
        <f>IF(OR($B15="",Dados!$C$41&lt;&gt;1),"",Dados!$AE$41)</f>
        <v/>
      </c>
      <c r="O15" s="20">
        <f>IF($B15="","",VLOOKUP(Dados!$AI$5,Dados!$A$5:$AF$41,31,FALSE))</f>
        <v/>
      </c>
    </row>
    <row r="16">
      <c r="B16" s="18">
        <f>B9</f>
        <v/>
      </c>
      <c r="C16" s="20">
        <f>IF(OR($B16="",Dados!$C$30&lt;&gt;1),"",Dados!$AF$30)</f>
        <v/>
      </c>
      <c r="D16" s="20">
        <f>IF(OR($B16="",Dados!$C$31&lt;&gt;1),"",Dados!$AF$31)</f>
        <v/>
      </c>
      <c r="E16" s="20">
        <f>IF(OR($B16="",Dados!$C$32&lt;&gt;1),"",Dados!$AF$32)</f>
        <v/>
      </c>
      <c r="F16" s="20">
        <f>IF(OR($B16="",Dados!$C$33&lt;&gt;1),"",Dados!$AF$33)</f>
        <v/>
      </c>
      <c r="G16" s="20">
        <f>IF(OR($B16="",Dados!$C$34&lt;&gt;1),"",Dados!$AF$34)</f>
        <v/>
      </c>
      <c r="H16" s="20">
        <f>IF(OR($B16="",Dados!$C$35&lt;&gt;1),"",Dados!$AF$35)</f>
        <v/>
      </c>
      <c r="I16" s="20">
        <f>IF(OR($B16="",Dados!$C$36&lt;&gt;1),"",Dados!$AF$36)</f>
        <v/>
      </c>
      <c r="J16" s="20">
        <f>IF(OR($B16="",Dados!$C$37&lt;&gt;1),"",Dados!$AF$37)</f>
        <v/>
      </c>
      <c r="K16" s="20">
        <f>IF(OR($B16="",Dados!$C$38&lt;&gt;1),"",Dados!$AF$38)</f>
        <v/>
      </c>
      <c r="L16" s="20">
        <f>IF(OR($B16="",Dados!$C$39&lt;&gt;1),"",Dados!$AF$39)</f>
        <v/>
      </c>
      <c r="M16" s="20">
        <f>IF(OR($B16="",Dados!$C$40&lt;&gt;1),"",Dados!$AF$40)</f>
        <v/>
      </c>
      <c r="N16" s="20">
        <f>IF(OR($B16="",Dados!$C$41&lt;&gt;1),"",Dados!$AF$41)</f>
        <v/>
      </c>
      <c r="O16" s="20">
        <f>IF($B16="","",VLOOKUP(Dados!$AI$5,Dados!$A$5:$AF$41,32,FALSE))</f>
        <v/>
      </c>
    </row>
    <row r="17">
      <c r="B17" s="26" t="inlineStr">
        <is>
          <t>Total atribuído</t>
        </is>
      </c>
      <c r="C17" s="27">
        <f>IF(Dados!$C$30=1,SUM(C13:C16),"")</f>
        <v/>
      </c>
      <c r="D17" s="27">
        <f>IF(Dados!$C$31=1,SUM(D13:D16),"")</f>
        <v/>
      </c>
      <c r="E17" s="27">
        <f>IF(Dados!$C$32=1,SUM(E13:E16),"")</f>
        <v/>
      </c>
      <c r="F17" s="27">
        <f>IF(Dados!$C$33=1,SUM(F13:F16),"")</f>
        <v/>
      </c>
      <c r="G17" s="27">
        <f>IF(Dados!$C$34=1,SUM(G13:G16),"")</f>
        <v/>
      </c>
      <c r="H17" s="27">
        <f>IF(Dados!$C$35=1,SUM(H13:H16),"")</f>
        <v/>
      </c>
      <c r="I17" s="27">
        <f>IF(Dados!$C$36=1,SUM(I13:I16),"")</f>
        <v/>
      </c>
      <c r="J17" s="27">
        <f>IF(Dados!$C$37=1,SUM(J13:J16),"")</f>
        <v/>
      </c>
      <c r="K17" s="27">
        <f>IF(Dados!$C$38=1,SUM(K13:K16),"")</f>
        <v/>
      </c>
      <c r="L17" s="27">
        <f>IF(Dados!$C$39=1,SUM(L13:L16),"")</f>
        <v/>
      </c>
      <c r="M17" s="27">
        <f>IF(Dados!$C$40=1,SUM(M13:M16),"")</f>
        <v/>
      </c>
      <c r="N17" s="27">
        <f>IF(Dados!$C$41=1,SUM(N13:N16),"")</f>
        <v/>
      </c>
      <c r="O17" s="27">
        <f>SUM(O13:O16)</f>
        <v/>
      </c>
    </row>
    <row r="18">
      <c r="B18" s="23" t="inlineStr">
        <is>
          <t>Na coluna Ano, o resultado atribuído é o do mês da competência (já acumula o ano).</t>
        </is>
      </c>
    </row>
  </sheetData>
  <conditionalFormatting sqref="C4:N4">
    <cfRule type="expression" priority="1" dxfId="1">
      <formula>COLUMN(C4)-2=Dados!$AI$6</formula>
    </cfRule>
  </conditionalFormatting>
  <conditionalFormatting sqref="C6:N17">
    <cfRule type="expression" priority="2" dxfId="3">
      <formula>COLUMN(C6)-2=Dados!$AI$6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&amp;L&amp;"Montserrat"&amp;8 AviZee · Workbook de Fechamento&amp;R&amp;"Montserrat"&amp;8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B2592C"/>
    <outlinePr summaryBelow="1" summaryRight="1"/>
    <pageSetUpPr fitToPage="1"/>
  </sheetPr>
  <dimension ref="B1:O91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 ht="30" customHeight="1">
      <c r="B1" s="24">
        <f>"Redes sociais · "&amp;Dados!$AI$7</f>
        <v/>
      </c>
    </row>
    <row r="2" ht="16" customHeight="1">
      <c r="B2" s="3" t="inlineStr">
        <is>
          <t>Seguidores no fim do mês, informados no fechamento · "s/d": mês fechado sem o número informado</t>
        </is>
      </c>
    </row>
    <row r="3" ht="8" customHeight="1"/>
    <row r="4" ht="20" customHeight="1">
      <c r="B4" s="16" t="inlineStr">
        <is>
          <t>Seguidores</t>
        </is>
      </c>
      <c r="C4" s="17" t="inlineStr">
        <is>
          <t>jan</t>
        </is>
      </c>
      <c r="D4" s="17" t="inlineStr">
        <is>
          <t>fev</t>
        </is>
      </c>
      <c r="E4" s="17" t="inlineStr">
        <is>
          <t>mar</t>
        </is>
      </c>
      <c r="F4" s="17" t="inlineStr">
        <is>
          <t>abr</t>
        </is>
      </c>
      <c r="G4" s="17" t="inlineStr">
        <is>
          <t>mai</t>
        </is>
      </c>
      <c r="H4" s="17" t="inlineStr">
        <is>
          <t>jun</t>
        </is>
      </c>
      <c r="I4" s="17" t="inlineStr">
        <is>
          <t>jul</t>
        </is>
      </c>
      <c r="J4" s="17" t="inlineStr">
        <is>
          <t>ago</t>
        </is>
      </c>
      <c r="K4" s="17" t="inlineStr">
        <is>
          <t>set</t>
        </is>
      </c>
      <c r="L4" s="17" t="inlineStr">
        <is>
          <t>out</t>
        </is>
      </c>
      <c r="M4" s="17" t="inlineStr">
        <is>
          <t>nov</t>
        </is>
      </c>
      <c r="N4" s="17" t="inlineStr">
        <is>
          <t>dez</t>
        </is>
      </c>
      <c r="O4" s="17" t="inlineStr">
        <is>
          <t>Ganho no ano</t>
        </is>
      </c>
    </row>
    <row r="5">
      <c r="B5" s="33" t="inlineStr">
        <is>
          <t>LinkedIn</t>
        </is>
      </c>
      <c r="C5" s="21">
        <f>IF(Dados!$C$30=1,IF(ISNUMBER(Dados!$W$30),Dados!$W$30,"s/d"),"")</f>
        <v/>
      </c>
      <c r="D5" s="21">
        <f>IF(Dados!$C$31=1,IF(ISNUMBER(Dados!$W$31),Dados!$W$31,"s/d"),"")</f>
        <v/>
      </c>
      <c r="E5" s="21">
        <f>IF(Dados!$C$32=1,IF(ISNUMBER(Dados!$W$32),Dados!$W$32,"s/d"),"")</f>
        <v/>
      </c>
      <c r="F5" s="21">
        <f>IF(Dados!$C$33=1,IF(ISNUMBER(Dados!$W$33),Dados!$W$33,"s/d"),"")</f>
        <v/>
      </c>
      <c r="G5" s="21">
        <f>IF(Dados!$C$34=1,IF(ISNUMBER(Dados!$W$34),Dados!$W$34,"s/d"),"")</f>
        <v/>
      </c>
      <c r="H5" s="21">
        <f>IF(Dados!$C$35=1,IF(ISNUMBER(Dados!$W$35),Dados!$W$35,"s/d"),"")</f>
        <v/>
      </c>
      <c r="I5" s="21">
        <f>IF(Dados!$C$36=1,IF(ISNUMBER(Dados!$W$36),Dados!$W$36,"s/d"),"")</f>
        <v/>
      </c>
      <c r="J5" s="21">
        <f>IF(Dados!$C$37=1,IF(ISNUMBER(Dados!$W$37),Dados!$W$37,"s/d"),"")</f>
        <v/>
      </c>
      <c r="K5" s="21">
        <f>IF(Dados!$C$38=1,IF(ISNUMBER(Dados!$W$38),Dados!$W$38,"s/d"),"")</f>
        <v/>
      </c>
      <c r="L5" s="21">
        <f>IF(Dados!$C$39=1,IF(ISNUMBER(Dados!$W$39),Dados!$W$39,"s/d"),"")</f>
        <v/>
      </c>
      <c r="M5" s="21">
        <f>IF(Dados!$C$40=1,IF(ISNUMBER(Dados!$W$40),Dados!$W$40,"s/d"),"")</f>
        <v/>
      </c>
      <c r="N5" s="21">
        <f>IF(Dados!$C$41=1,IF(ISNUMBER(Dados!$W$41),Dados!$W$41,"s/d"),"")</f>
        <v/>
      </c>
      <c r="O5" s="21">
        <f>IF(ISNUMBER(Dados!$W$29),IFERROR(LOOKUP(2,1/ISNUMBER(C5:N5),C5:N5)-Dados!$W$29,""),"")</f>
        <v/>
      </c>
    </row>
    <row r="6">
      <c r="B6" s="28" t="inlineStr">
        <is>
          <t>ganho no mês</t>
        </is>
      </c>
      <c r="C6" s="44">
        <f>IF(AND(ISNUMBER(C5),ISNUMBER(Dados!$W$29)),C5-Dados!$W$29,"")</f>
        <v/>
      </c>
      <c r="D6" s="44">
        <f>IF(AND(ISNUMBER(D5),ISNUMBER(C5)),D5-C5,"")</f>
        <v/>
      </c>
      <c r="E6" s="44">
        <f>IF(AND(ISNUMBER(E5),ISNUMBER(D5)),E5-D5,"")</f>
        <v/>
      </c>
      <c r="F6" s="44">
        <f>IF(AND(ISNUMBER(F5),ISNUMBER(E5)),F5-E5,"")</f>
        <v/>
      </c>
      <c r="G6" s="44">
        <f>IF(AND(ISNUMBER(G5),ISNUMBER(F5)),G5-F5,"")</f>
        <v/>
      </c>
      <c r="H6" s="44">
        <f>IF(AND(ISNUMBER(H5),ISNUMBER(G5)),H5-G5,"")</f>
        <v/>
      </c>
      <c r="I6" s="44">
        <f>IF(AND(ISNUMBER(I5),ISNUMBER(H5)),I5-H5,"")</f>
        <v/>
      </c>
      <c r="J6" s="44">
        <f>IF(AND(ISNUMBER(J5),ISNUMBER(I5)),J5-I5,"")</f>
        <v/>
      </c>
      <c r="K6" s="44">
        <f>IF(AND(ISNUMBER(K5),ISNUMBER(J5)),K5-J5,"")</f>
        <v/>
      </c>
      <c r="L6" s="44">
        <f>IF(AND(ISNUMBER(L5),ISNUMBER(K5)),L5-K5,"")</f>
        <v/>
      </c>
      <c r="M6" s="44">
        <f>IF(AND(ISNUMBER(M5),ISNUMBER(L5)),M5-L5,"")</f>
        <v/>
      </c>
      <c r="N6" s="44">
        <f>IF(AND(ISNUMBER(N5),ISNUMBER(M5)),N5-M5,"")</f>
        <v/>
      </c>
      <c r="O6" s="21" t="n"/>
    </row>
    <row r="7">
      <c r="B7" s="33" t="inlineStr">
        <is>
          <t>Instagram</t>
        </is>
      </c>
      <c r="C7" s="21">
        <f>IF(Dados!$C$30=1,IF(ISNUMBER(Dados!$X$30),Dados!$X$30,"s/d"),"")</f>
        <v/>
      </c>
      <c r="D7" s="21">
        <f>IF(Dados!$C$31=1,IF(ISNUMBER(Dados!$X$31),Dados!$X$31,"s/d"),"")</f>
        <v/>
      </c>
      <c r="E7" s="21">
        <f>IF(Dados!$C$32=1,IF(ISNUMBER(Dados!$X$32),Dados!$X$32,"s/d"),"")</f>
        <v/>
      </c>
      <c r="F7" s="21">
        <f>IF(Dados!$C$33=1,IF(ISNUMBER(Dados!$X$33),Dados!$X$33,"s/d"),"")</f>
        <v/>
      </c>
      <c r="G7" s="21">
        <f>IF(Dados!$C$34=1,IF(ISNUMBER(Dados!$X$34),Dados!$X$34,"s/d"),"")</f>
        <v/>
      </c>
      <c r="H7" s="21">
        <f>IF(Dados!$C$35=1,IF(ISNUMBER(Dados!$X$35),Dados!$X$35,"s/d"),"")</f>
        <v/>
      </c>
      <c r="I7" s="21">
        <f>IF(Dados!$C$36=1,IF(ISNUMBER(Dados!$X$36),Dados!$X$36,"s/d"),"")</f>
        <v/>
      </c>
      <c r="J7" s="21">
        <f>IF(Dados!$C$37=1,IF(ISNUMBER(Dados!$X$37),Dados!$X$37,"s/d"),"")</f>
        <v/>
      </c>
      <c r="K7" s="21">
        <f>IF(Dados!$C$38=1,IF(ISNUMBER(Dados!$X$38),Dados!$X$38,"s/d"),"")</f>
        <v/>
      </c>
      <c r="L7" s="21">
        <f>IF(Dados!$C$39=1,IF(ISNUMBER(Dados!$X$39),Dados!$X$39,"s/d"),"")</f>
        <v/>
      </c>
      <c r="M7" s="21">
        <f>IF(Dados!$C$40=1,IF(ISNUMBER(Dados!$X$40),Dados!$X$40,"s/d"),"")</f>
        <v/>
      </c>
      <c r="N7" s="21">
        <f>IF(Dados!$C$41=1,IF(ISNUMBER(Dados!$X$41),Dados!$X$41,"s/d"),"")</f>
        <v/>
      </c>
      <c r="O7" s="21">
        <f>IF(ISNUMBER(Dados!$X$29),IFERROR(LOOKUP(2,1/ISNUMBER(C7:N7),C7:N7)-Dados!$X$29,""),"")</f>
        <v/>
      </c>
    </row>
    <row r="8">
      <c r="B8" s="28" t="inlineStr">
        <is>
          <t>ganho no mês</t>
        </is>
      </c>
      <c r="C8" s="44">
        <f>IF(AND(ISNUMBER(C7),ISNUMBER(Dados!$X$29)),C7-Dados!$X$29,"")</f>
        <v/>
      </c>
      <c r="D8" s="44">
        <f>IF(AND(ISNUMBER(D7),ISNUMBER(C7)),D7-C7,"")</f>
        <v/>
      </c>
      <c r="E8" s="44">
        <f>IF(AND(ISNUMBER(E7),ISNUMBER(D7)),E7-D7,"")</f>
        <v/>
      </c>
      <c r="F8" s="44">
        <f>IF(AND(ISNUMBER(F7),ISNUMBER(E7)),F7-E7,"")</f>
        <v/>
      </c>
      <c r="G8" s="44">
        <f>IF(AND(ISNUMBER(G7),ISNUMBER(F7)),G7-F7,"")</f>
        <v/>
      </c>
      <c r="H8" s="44">
        <f>IF(AND(ISNUMBER(H7),ISNUMBER(G7)),H7-G7,"")</f>
        <v/>
      </c>
      <c r="I8" s="44">
        <f>IF(AND(ISNUMBER(I7),ISNUMBER(H7)),I7-H7,"")</f>
        <v/>
      </c>
      <c r="J8" s="44">
        <f>IF(AND(ISNUMBER(J7),ISNUMBER(I7)),J7-I7,"")</f>
        <v/>
      </c>
      <c r="K8" s="44">
        <f>IF(AND(ISNUMBER(K7),ISNUMBER(J7)),K7-J7,"")</f>
        <v/>
      </c>
      <c r="L8" s="44">
        <f>IF(AND(ISNUMBER(L7),ISNUMBER(K7)),L7-K7,"")</f>
        <v/>
      </c>
      <c r="M8" s="44">
        <f>IF(AND(ISNUMBER(M7),ISNUMBER(L7)),M7-L7,"")</f>
        <v/>
      </c>
      <c r="N8" s="44">
        <f>IF(AND(ISNUMBER(N7),ISNUMBER(M7)),N7-M7,"")</f>
        <v/>
      </c>
      <c r="O8" s="21" t="n"/>
    </row>
    <row r="10">
      <c r="B10" s="15">
        <f>"Ano anterior · "&amp;(Dados!$AI$7-1)</f>
        <v/>
      </c>
    </row>
    <row r="11">
      <c r="B11" s="18" t="inlineStr">
        <is>
          <t>LinkedIn</t>
        </is>
      </c>
      <c r="C11" s="21">
        <f>IF(Dados!$C$18=1,IF(ISNUMBER(Dados!$W$18),Dados!$W$18,"s/d"),"")</f>
        <v/>
      </c>
      <c r="D11" s="21">
        <f>IF(Dados!$C$19=1,IF(ISNUMBER(Dados!$W$19),Dados!$W$19,"s/d"),"")</f>
        <v/>
      </c>
      <c r="E11" s="21">
        <f>IF(Dados!$C$20=1,IF(ISNUMBER(Dados!$W$20),Dados!$W$20,"s/d"),"")</f>
        <v/>
      </c>
      <c r="F11" s="21">
        <f>IF(Dados!$C$21=1,IF(ISNUMBER(Dados!$W$21),Dados!$W$21,"s/d"),"")</f>
        <v/>
      </c>
      <c r="G11" s="21">
        <f>IF(Dados!$C$22=1,IF(ISNUMBER(Dados!$W$22),Dados!$W$22,"s/d"),"")</f>
        <v/>
      </c>
      <c r="H11" s="21">
        <f>IF(Dados!$C$23=1,IF(ISNUMBER(Dados!$W$23),Dados!$W$23,"s/d"),"")</f>
        <v/>
      </c>
      <c r="I11" s="21">
        <f>IF(Dados!$C$24=1,IF(ISNUMBER(Dados!$W$24),Dados!$W$24,"s/d"),"")</f>
        <v/>
      </c>
      <c r="J11" s="21">
        <f>IF(Dados!$C$25=1,IF(ISNUMBER(Dados!$W$25),Dados!$W$25,"s/d"),"")</f>
        <v/>
      </c>
      <c r="K11" s="21">
        <f>IF(Dados!$C$26=1,IF(ISNUMBER(Dados!$W$26),Dados!$W$26,"s/d"),"")</f>
        <v/>
      </c>
      <c r="L11" s="21">
        <f>IF(Dados!$C$27=1,IF(ISNUMBER(Dados!$W$27),Dados!$W$27,"s/d"),"")</f>
        <v/>
      </c>
      <c r="M11" s="21">
        <f>IF(Dados!$C$28=1,IF(ISNUMBER(Dados!$W$28),Dados!$W$28,"s/d"),"")</f>
        <v/>
      </c>
      <c r="N11" s="21">
        <f>IF(Dados!$C$29=1,IF(ISNUMBER(Dados!$W$29),Dados!$W$29,"s/d"),"")</f>
        <v/>
      </c>
      <c r="O11" s="21" t="n"/>
    </row>
    <row r="12">
      <c r="B12" s="18" t="inlineStr">
        <is>
          <t>Instagram</t>
        </is>
      </c>
      <c r="C12" s="21">
        <f>IF(Dados!$C$18=1,IF(ISNUMBER(Dados!$X$18),Dados!$X$18,"s/d"),"")</f>
        <v/>
      </c>
      <c r="D12" s="21">
        <f>IF(Dados!$C$19=1,IF(ISNUMBER(Dados!$X$19),Dados!$X$19,"s/d"),"")</f>
        <v/>
      </c>
      <c r="E12" s="21">
        <f>IF(Dados!$C$20=1,IF(ISNUMBER(Dados!$X$20),Dados!$X$20,"s/d"),"")</f>
        <v/>
      </c>
      <c r="F12" s="21">
        <f>IF(Dados!$C$21=1,IF(ISNUMBER(Dados!$X$21),Dados!$X$21,"s/d"),"")</f>
        <v/>
      </c>
      <c r="G12" s="21">
        <f>IF(Dados!$C$22=1,IF(ISNUMBER(Dados!$X$22),Dados!$X$22,"s/d"),"")</f>
        <v/>
      </c>
      <c r="H12" s="21">
        <f>IF(Dados!$C$23=1,IF(ISNUMBER(Dados!$X$23),Dados!$X$23,"s/d"),"")</f>
        <v/>
      </c>
      <c r="I12" s="21">
        <f>IF(Dados!$C$24=1,IF(ISNUMBER(Dados!$X$24),Dados!$X$24,"s/d"),"")</f>
        <v/>
      </c>
      <c r="J12" s="21">
        <f>IF(Dados!$C$25=1,IF(ISNUMBER(Dados!$X$25),Dados!$X$25,"s/d"),"")</f>
        <v/>
      </c>
      <c r="K12" s="21">
        <f>IF(Dados!$C$26=1,IF(ISNUMBER(Dados!$X$26),Dados!$X$26,"s/d"),"")</f>
        <v/>
      </c>
      <c r="L12" s="21">
        <f>IF(Dados!$C$27=1,IF(ISNUMBER(Dados!$X$27),Dados!$X$27,"s/d"),"")</f>
        <v/>
      </c>
      <c r="M12" s="21">
        <f>IF(Dados!$C$28=1,IF(ISNUMBER(Dados!$X$28),Dados!$X$28,"s/d"),"")</f>
        <v/>
      </c>
      <c r="N12" s="21">
        <f>IF(Dados!$C$29=1,IF(ISNUMBER(Dados!$X$29),Dados!$X$29,"s/d"),"")</f>
        <v/>
      </c>
      <c r="O12" s="21" t="n"/>
    </row>
    <row r="90" hidden="1">
      <c r="B90" s="23" t="inlineStr">
        <is>
          <t>Auxiliar do gráfico (linha 5)</t>
        </is>
      </c>
      <c r="C90" s="29">
        <f>IF(ISNUMBER(C5),C5,NA())</f>
        <v/>
      </c>
      <c r="D90" s="29">
        <f>IF(ISNUMBER(D5),D5,NA())</f>
        <v/>
      </c>
      <c r="E90" s="29">
        <f>IF(ISNUMBER(E5),E5,NA())</f>
        <v/>
      </c>
      <c r="F90" s="29">
        <f>IF(ISNUMBER(F5),F5,NA())</f>
        <v/>
      </c>
      <c r="G90" s="29">
        <f>IF(ISNUMBER(G5),G5,NA())</f>
        <v/>
      </c>
      <c r="H90" s="29">
        <f>IF(ISNUMBER(H5),H5,NA())</f>
        <v/>
      </c>
      <c r="I90" s="29">
        <f>IF(ISNUMBER(I5),I5,NA())</f>
        <v/>
      </c>
      <c r="J90" s="29">
        <f>IF(ISNUMBER(J5),J5,NA())</f>
        <v/>
      </c>
      <c r="K90" s="29">
        <f>IF(ISNUMBER(K5),K5,NA())</f>
        <v/>
      </c>
      <c r="L90" s="29">
        <f>IF(ISNUMBER(L5),L5,NA())</f>
        <v/>
      </c>
      <c r="M90" s="29">
        <f>IF(ISNUMBER(M5),M5,NA())</f>
        <v/>
      </c>
      <c r="N90" s="29">
        <f>IF(ISNUMBER(N5),N5,NA())</f>
        <v/>
      </c>
    </row>
    <row r="91" hidden="1">
      <c r="B91" s="23" t="inlineStr">
        <is>
          <t>Auxiliar do gráfico (linha 7)</t>
        </is>
      </c>
      <c r="C91" s="29">
        <f>IF(ISNUMBER(C7),C7,NA())</f>
        <v/>
      </c>
      <c r="D91" s="29">
        <f>IF(ISNUMBER(D7),D7,NA())</f>
        <v/>
      </c>
      <c r="E91" s="29">
        <f>IF(ISNUMBER(E7),E7,NA())</f>
        <v/>
      </c>
      <c r="F91" s="29">
        <f>IF(ISNUMBER(F7),F7,NA())</f>
        <v/>
      </c>
      <c r="G91" s="29">
        <f>IF(ISNUMBER(G7),G7,NA())</f>
        <v/>
      </c>
      <c r="H91" s="29">
        <f>IF(ISNUMBER(H7),H7,NA())</f>
        <v/>
      </c>
      <c r="I91" s="29">
        <f>IF(ISNUMBER(I7),I7,NA())</f>
        <v/>
      </c>
      <c r="J91" s="29">
        <f>IF(ISNUMBER(J7),J7,NA())</f>
        <v/>
      </c>
      <c r="K91" s="29">
        <f>IF(ISNUMBER(K7),K7,NA())</f>
        <v/>
      </c>
      <c r="L91" s="29">
        <f>IF(ISNUMBER(L7),L7,NA())</f>
        <v/>
      </c>
      <c r="M91" s="29">
        <f>IF(ISNUMBER(M7),M7,NA())</f>
        <v/>
      </c>
      <c r="N91" s="29">
        <f>IF(ISNUMBER(N7),N7,NA())</f>
        <v/>
      </c>
    </row>
  </sheetData>
  <conditionalFormatting sqref="C4:N4">
    <cfRule type="expression" priority="1" dxfId="1">
      <formula>COLUMN(C4)-2=Dados!$AI$6</formula>
    </cfRule>
  </conditionalFormatting>
  <conditionalFormatting sqref="C5:N12">
    <cfRule type="expression" priority="2" dxfId="5">
      <formula>C5="s/d"</formula>
    </cfRule>
  </conditionalFormatting>
  <conditionalFormatting sqref="C5:N8">
    <cfRule type="expression" priority="3" dxfId="3">
      <formula>COLUMN(C5)-2=Dados!$AI$6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&amp;L&amp;"Montserrat"&amp;8 AviZee · Workbook de Fechamento&amp;R&amp;"Montserrat"&amp;8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DDD2C4"/>
    <outlinePr summaryBelow="1" summaryRight="1"/>
    <pageSetUpPr/>
  </sheetPr>
  <dimension ref="A1:AS47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.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4" customWidth="1" min="34" max="34"/>
    <col width="16" customWidth="1" min="35" max="35"/>
    <col width="3" customWidth="1" min="36" max="36"/>
    <col width="26" customWidth="1" min="37" max="37"/>
    <col width="9" customWidth="1" min="38" max="38"/>
    <col width="3" customWidth="1" min="39" max="39"/>
    <col width="9" customWidth="1" min="40" max="40"/>
    <col width="26" customWidth="1" min="41" max="41"/>
    <col width="3" customWidth="1" min="42" max="42"/>
    <col width="26" customWidth="1" min="43" max="43"/>
    <col width="3" customWidth="1" min="44" max="44"/>
    <col width="26" customWidth="1" min="45" max="45"/>
  </cols>
  <sheetData>
    <row r="1">
      <c r="A1" s="24" t="inlineStr">
        <is>
          <t>Dados do fechamento</t>
        </is>
      </c>
    </row>
    <row r="2">
      <c r="A2" s="3" t="inlineStr">
        <is>
          <t>Um mês por linha, de dez/(ano-3) a dez/(ano), com centavos; à direita, os parâmetros e as listas usadas nas abas; abaixo, o detalhe do mês por cliente, estado, categoria e fornecedor. Todas as abas leem daqui.</t>
        </is>
      </c>
    </row>
    <row r="4" ht="30" customHeight="1">
      <c r="A4" s="45" t="inlineStr">
        <is>
          <t>Mês</t>
        </is>
      </c>
      <c r="B4" s="45" t="inlineStr">
        <is>
          <t>Rótulo</t>
        </is>
      </c>
      <c r="C4" s="45" t="inlineStr">
        <is>
          <t>Fechado</t>
        </is>
      </c>
      <c r="D4" s="45" t="inlineStr">
        <is>
          <t>Recebido</t>
        </is>
      </c>
      <c r="E4" s="45" t="inlineStr">
        <is>
          <t>Pago</t>
        </is>
      </c>
      <c r="F4" s="45" t="inlineStr">
        <is>
          <t>Faturamento</t>
        </is>
      </c>
      <c r="G4" s="45" t="inlineStr">
        <is>
          <t>Caixa final</t>
        </is>
      </c>
      <c r="H4" s="45" t="inlineStr">
        <is>
          <t>Caixa calculado (ERP)</t>
        </is>
      </c>
      <c r="I4" s="45" t="inlineStr">
        <is>
          <t>Ajuste ao extrato</t>
        </is>
      </c>
      <c r="J4" s="45" t="inlineStr">
        <is>
          <t>Bloqueado</t>
        </is>
      </c>
      <c r="K4" s="45" t="inlineStr">
        <is>
          <t>Estoque produtos</t>
        </is>
      </c>
      <c r="L4" s="45" t="inlineStr">
        <is>
          <t>Estoque materiais</t>
        </is>
      </c>
      <c r="M4" s="45" t="inlineStr">
        <is>
          <t>Receber a vencer 0-30</t>
        </is>
      </c>
      <c r="N4" s="45" t="inlineStr">
        <is>
          <t>Receber a vencer 31-90</t>
        </is>
      </c>
      <c r="O4" s="45" t="inlineStr">
        <is>
          <t>Receber a vencer &gt;90</t>
        </is>
      </c>
      <c r="P4" s="45" t="inlineStr">
        <is>
          <t>Receber vencido 0-30</t>
        </is>
      </c>
      <c r="Q4" s="45" t="inlineStr">
        <is>
          <t>Receber vencido &gt;30</t>
        </is>
      </c>
      <c r="R4" s="45" t="inlineStr">
        <is>
          <t>Pagar a vencer 0-30</t>
        </is>
      </c>
      <c r="S4" s="45" t="inlineStr">
        <is>
          <t>Pagar a vencer 31-90</t>
        </is>
      </c>
      <c r="T4" s="45" t="inlineStr">
        <is>
          <t>Pagar a vencer &gt;90</t>
        </is>
      </c>
      <c r="U4" s="45" t="inlineStr">
        <is>
          <t>Pagar vencido 0-30</t>
        </is>
      </c>
      <c r="V4" s="45" t="inlineStr">
        <is>
          <t>Pagar vencido &gt;30</t>
        </is>
      </c>
      <c r="W4" s="45" t="inlineStr">
        <is>
          <t>Seguidores LinkedIn</t>
        </is>
      </c>
      <c r="X4" s="45" t="inlineStr">
        <is>
          <t>Seguidores Instagram</t>
        </is>
      </c>
      <c r="Y4" s="45" t="inlineStr">
        <is>
          <t>Retirada sócio 1</t>
        </is>
      </c>
      <c r="Z4" s="45" t="inlineStr">
        <is>
          <t>Retirada sócio 2</t>
        </is>
      </c>
      <c r="AA4" s="45" t="inlineStr">
        <is>
          <t>Retirada sócio 3</t>
        </is>
      </c>
      <c r="AB4" s="45" t="inlineStr">
        <is>
          <t>Retirada sócio 4</t>
        </is>
      </c>
      <c r="AC4" s="45" t="inlineStr">
        <is>
          <t>Resultado atribuído sócio 1</t>
        </is>
      </c>
      <c r="AD4" s="45" t="inlineStr">
        <is>
          <t>Resultado atribuído sócio 2</t>
        </is>
      </c>
      <c r="AE4" s="45" t="inlineStr">
        <is>
          <t>Resultado atribuído sócio 3</t>
        </is>
      </c>
      <c r="AF4" s="45" t="inlineStr">
        <is>
          <t>Resultado atribuído sócio 4</t>
        </is>
      </c>
      <c r="AG4" s="45" t="inlineStr">
        <is>
          <t>Rendimentos de aplicações</t>
        </is>
      </c>
      <c r="AH4" s="45" t="inlineStr">
        <is>
          <t>Parâmetro</t>
        </is>
      </c>
      <c r="AI4" s="45" t="inlineStr">
        <is>
          <t>Valor</t>
        </is>
      </c>
      <c r="AK4" s="45" t="inlineStr">
        <is>
          <t>Cliente (grupo)</t>
        </is>
      </c>
      <c r="AL4" s="45" t="inlineStr">
        <is>
          <t>1ª compra</t>
        </is>
      </c>
      <c r="AN4" s="45" t="inlineStr">
        <is>
          <t>UF</t>
        </is>
      </c>
      <c r="AO4" s="45" t="inlineStr">
        <is>
          <t>Estado</t>
        </is>
      </c>
      <c r="AQ4" s="45" t="inlineStr">
        <is>
          <t>Categoria de despesa</t>
        </is>
      </c>
      <c r="AS4" s="45" t="inlineStr">
        <is>
          <t>Fornecedor do mês</t>
        </is>
      </c>
    </row>
    <row r="5">
      <c r="A5" s="46" t="n"/>
      <c r="B5" s="47" t="n"/>
      <c r="C5" s="48" t="n"/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50" t="n"/>
      <c r="X5" s="50" t="n"/>
      <c r="Y5" s="49" t="n"/>
      <c r="Z5" s="49" t="n"/>
      <c r="AA5" s="49" t="n"/>
      <c r="AB5" s="49" t="n"/>
      <c r="AC5" s="49" t="n"/>
      <c r="AD5" s="49" t="n"/>
      <c r="AE5" s="49" t="n"/>
      <c r="AF5" s="49" t="n"/>
      <c r="AG5" s="49" t="n"/>
      <c r="AH5" s="47" t="inlineStr">
        <is>
          <t>Competência</t>
        </is>
      </c>
      <c r="AI5" s="46" t="n"/>
      <c r="AK5" s="47" t="n"/>
      <c r="AL5" s="47" t="n"/>
      <c r="AN5" s="47" t="n"/>
      <c r="AO5" s="47" t="n"/>
      <c r="AQ5" s="47" t="n"/>
      <c r="AS5" s="47" t="n"/>
    </row>
    <row r="6">
      <c r="A6" s="46" t="n"/>
      <c r="B6" s="47" t="n"/>
      <c r="C6" s="48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50" t="n"/>
      <c r="X6" s="50" t="n"/>
      <c r="Y6" s="49" t="n"/>
      <c r="Z6" s="49" t="n"/>
      <c r="AA6" s="49" t="n"/>
      <c r="AB6" s="49" t="n"/>
      <c r="AC6" s="49" t="n"/>
      <c r="AD6" s="49" t="n"/>
      <c r="AE6" s="49" t="n"/>
      <c r="AF6" s="49" t="n"/>
      <c r="AG6" s="49" t="n"/>
      <c r="AH6" s="47" t="inlineStr">
        <is>
          <t>Mês</t>
        </is>
      </c>
      <c r="AI6" s="48" t="n"/>
      <c r="AK6" s="47" t="n"/>
      <c r="AL6" s="47" t="n"/>
      <c r="AN6" s="47" t="n"/>
      <c r="AO6" s="47" t="n"/>
      <c r="AQ6" s="47" t="n"/>
      <c r="AS6" s="47" t="n"/>
    </row>
    <row r="7">
      <c r="A7" s="46" t="n"/>
      <c r="B7" s="47" t="n"/>
      <c r="C7" s="48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50" t="n"/>
      <c r="X7" s="50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7" t="inlineStr">
        <is>
          <t>Ano</t>
        </is>
      </c>
      <c r="AI7" s="48" t="n"/>
      <c r="AK7" s="47" t="n"/>
      <c r="AL7" s="47" t="n"/>
      <c r="AN7" s="47" t="n"/>
      <c r="AO7" s="47" t="n"/>
      <c r="AQ7" s="47" t="n"/>
      <c r="AS7" s="47" t="n"/>
    </row>
    <row r="8">
      <c r="A8" s="46" t="n"/>
      <c r="B8" s="47" t="n"/>
      <c r="C8" s="48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50" t="n"/>
      <c r="X8" s="50" t="n"/>
      <c r="Y8" s="49" t="n"/>
      <c r="Z8" s="49" t="n"/>
      <c r="AA8" s="49" t="n"/>
      <c r="AB8" s="49" t="n"/>
      <c r="AC8" s="49" t="n"/>
      <c r="AD8" s="49" t="n"/>
      <c r="AE8" s="49" t="n"/>
      <c r="AF8" s="49" t="n"/>
      <c r="AG8" s="49" t="n"/>
      <c r="AH8" s="47" t="inlineStr">
        <is>
          <t>Período</t>
        </is>
      </c>
      <c r="AI8" s="47" t="n"/>
      <c r="AK8" s="47" t="n"/>
      <c r="AL8" s="47" t="n"/>
      <c r="AN8" s="47" t="n"/>
      <c r="AO8" s="47" t="n"/>
      <c r="AQ8" s="47" t="n"/>
      <c r="AS8" s="47" t="n"/>
    </row>
    <row r="9">
      <c r="A9" s="46" t="n"/>
      <c r="B9" s="47" t="n"/>
      <c r="C9" s="48" t="n"/>
      <c r="D9" s="49" t="n"/>
      <c r="E9" s="49" t="n"/>
      <c r="F9" s="49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50" t="n"/>
      <c r="X9" s="50" t="n"/>
      <c r="Y9" s="49" t="n"/>
      <c r="Z9" s="49" t="n"/>
      <c r="AA9" s="49" t="n"/>
      <c r="AB9" s="49" t="n"/>
      <c r="AC9" s="49" t="n"/>
      <c r="AD9" s="49" t="n"/>
      <c r="AE9" s="49" t="n"/>
      <c r="AF9" s="49" t="n"/>
      <c r="AG9" s="49" t="n"/>
      <c r="AH9" s="47" t="inlineStr">
        <is>
          <t>Data-base</t>
        </is>
      </c>
      <c r="AI9" s="51" t="n"/>
      <c r="AK9" s="47" t="n"/>
      <c r="AL9" s="47" t="n"/>
      <c r="AN9" s="47" t="n"/>
      <c r="AO9" s="47" t="n"/>
      <c r="AQ9" s="47" t="n"/>
      <c r="AS9" s="47" t="n"/>
    </row>
    <row r="10">
      <c r="A10" s="46" t="n"/>
      <c r="B10" s="47" t="n"/>
      <c r="C10" s="48" t="n"/>
      <c r="D10" s="49" t="n"/>
      <c r="E10" s="49" t="n"/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50" t="n"/>
      <c r="X10" s="50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7" t="inlineStr">
        <is>
          <t>Gerado em</t>
        </is>
      </c>
      <c r="AI10" s="51" t="n"/>
      <c r="AK10" s="47" t="n"/>
      <c r="AL10" s="47" t="n"/>
      <c r="AN10" s="47" t="n"/>
      <c r="AO10" s="47" t="n"/>
      <c r="AQ10" s="47" t="n"/>
      <c r="AS10" s="47" t="n"/>
    </row>
    <row r="11">
      <c r="A11" s="46" t="n"/>
      <c r="B11" s="47" t="n"/>
      <c r="C11" s="48" t="n"/>
      <c r="D11" s="49" t="n"/>
      <c r="E11" s="49" t="n"/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50" t="n"/>
      <c r="X11" s="50" t="n"/>
      <c r="Y11" s="49" t="n"/>
      <c r="Z11" s="49" t="n"/>
      <c r="AA11" s="49" t="n"/>
      <c r="AB11" s="49" t="n"/>
      <c r="AC11" s="49" t="n"/>
      <c r="AD11" s="49" t="n"/>
      <c r="AE11" s="49" t="n"/>
      <c r="AF11" s="49" t="n"/>
      <c r="AG11" s="49" t="n"/>
      <c r="AH11" s="47" t="inlineStr">
        <is>
          <t>Meta de crescimento do ano</t>
        </is>
      </c>
      <c r="AI11" s="52" t="n"/>
      <c r="AK11" s="47" t="n"/>
      <c r="AL11" s="47" t="n"/>
      <c r="AN11" s="47" t="n"/>
      <c r="AO11" s="47" t="n"/>
      <c r="AQ11" s="47" t="n"/>
      <c r="AS11" s="47" t="n"/>
    </row>
    <row r="12">
      <c r="A12" s="46" t="n"/>
      <c r="B12" s="47" t="n"/>
      <c r="C12" s="48" t="n"/>
      <c r="D12" s="49" t="n"/>
      <c r="E12" s="49" t="n"/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50" t="n"/>
      <c r="X12" s="50" t="n"/>
      <c r="Y12" s="49" t="n"/>
      <c r="Z12" s="49" t="n"/>
      <c r="AA12" s="49" t="n"/>
      <c r="AB12" s="49" t="n"/>
      <c r="AC12" s="49" t="n"/>
      <c r="AD12" s="49" t="n"/>
      <c r="AE12" s="49" t="n"/>
      <c r="AF12" s="49" t="n"/>
      <c r="AG12" s="49" t="n"/>
      <c r="AH12" s="47" t="inlineStr">
        <is>
          <t>Meta de crescimento do ano anterior</t>
        </is>
      </c>
      <c r="AI12" s="52" t="n"/>
      <c r="AK12" s="47" t="n"/>
      <c r="AL12" s="47" t="n"/>
      <c r="AN12" s="47" t="n"/>
      <c r="AO12" s="47" t="n"/>
      <c r="AQ12" s="47" t="n"/>
      <c r="AS12" s="47" t="n"/>
    </row>
    <row r="13">
      <c r="A13" s="46" t="n"/>
      <c r="B13" s="47" t="n"/>
      <c r="C13" s="48" t="n"/>
      <c r="D13" s="49" t="n"/>
      <c r="E13" s="49" t="n"/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50" t="n"/>
      <c r="X13" s="50" t="n"/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  <c r="AH13" s="47" t="inlineStr">
        <is>
          <t>Limite de faturamento (ano-2)</t>
        </is>
      </c>
      <c r="AI13" s="49" t="n"/>
      <c r="AK13" s="47" t="n"/>
      <c r="AL13" s="47" t="n"/>
      <c r="AN13" s="47" t="n"/>
      <c r="AO13" s="47" t="n"/>
      <c r="AQ13" s="47" t="n"/>
      <c r="AS13" s="47" t="n"/>
    </row>
    <row r="14">
      <c r="A14" s="46" t="n"/>
      <c r="B14" s="47" t="n"/>
      <c r="C14" s="48" t="n"/>
      <c r="D14" s="49" t="n"/>
      <c r="E14" s="49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50" t="n"/>
      <c r="X14" s="50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  <c r="AH14" s="47" t="inlineStr">
        <is>
          <t>Limite de faturamento (ano-1)</t>
        </is>
      </c>
      <c r="AI14" s="49" t="n"/>
      <c r="AK14" s="47" t="n"/>
      <c r="AL14" s="47" t="n"/>
      <c r="AN14" s="47" t="n"/>
      <c r="AO14" s="47" t="n"/>
      <c r="AQ14" s="47" t="n"/>
      <c r="AS14" s="47" t="n"/>
    </row>
    <row r="15">
      <c r="A15" s="46" t="n"/>
      <c r="B15" s="47" t="n"/>
      <c r="C15" s="48" t="n"/>
      <c r="D15" s="49" t="n"/>
      <c r="E15" s="49" t="n"/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50" t="n"/>
      <c r="X15" s="50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  <c r="AH15" s="47" t="inlineStr">
        <is>
          <t>Limite de faturamento (ano)</t>
        </is>
      </c>
      <c r="AI15" s="49" t="n"/>
      <c r="AK15" s="47" t="n"/>
      <c r="AL15" s="47" t="n"/>
      <c r="AN15" s="47" t="n"/>
      <c r="AO15" s="47" t="n"/>
      <c r="AQ15" s="47" t="n"/>
      <c r="AS15" s="47" t="n"/>
    </row>
    <row r="16">
      <c r="A16" s="46" t="n"/>
      <c r="B16" s="47" t="n"/>
      <c r="C16" s="48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50" t="n"/>
      <c r="X16" s="50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  <c r="AH16" s="47" t="inlineStr">
        <is>
          <t>Linhas do extrato pendentes</t>
        </is>
      </c>
      <c r="AI16" s="48" t="n"/>
      <c r="AK16" s="47" t="n"/>
      <c r="AL16" s="47" t="n"/>
      <c r="AN16" s="47" t="n"/>
      <c r="AO16" s="47" t="n"/>
      <c r="AQ16" s="47" t="n"/>
      <c r="AS16" s="47" t="n"/>
    </row>
    <row r="17">
      <c r="A17" s="46" t="n"/>
      <c r="B17" s="47" t="n"/>
      <c r="C17" s="48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50" t="n"/>
      <c r="X17" s="50" t="n"/>
      <c r="Y17" s="49" t="n"/>
      <c r="Z17" s="49" t="n"/>
      <c r="AA17" s="49" t="n"/>
      <c r="AB17" s="49" t="n"/>
      <c r="AC17" s="49" t="n"/>
      <c r="AD17" s="49" t="n"/>
      <c r="AE17" s="49" t="n"/>
      <c r="AF17" s="49" t="n"/>
      <c r="AG17" s="49" t="n"/>
      <c r="AH17" s="47" t="inlineStr">
        <is>
          <t>Último extrato importado</t>
        </is>
      </c>
      <c r="AI17" s="51" t="n"/>
      <c r="AK17" s="47" t="n"/>
      <c r="AL17" s="47" t="n"/>
      <c r="AN17" s="47" t="n"/>
      <c r="AO17" s="47" t="n"/>
      <c r="AQ17" s="47" t="n"/>
      <c r="AS17" s="47" t="n"/>
    </row>
    <row r="18">
      <c r="A18" s="46" t="n"/>
      <c r="B18" s="47" t="n"/>
      <c r="C18" s="48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50" t="n"/>
      <c r="X18" s="50" t="n"/>
      <c r="Y18" s="49" t="n"/>
      <c r="Z18" s="49" t="n"/>
      <c r="AA18" s="49" t="n"/>
      <c r="AB18" s="49" t="n"/>
      <c r="AC18" s="49" t="n"/>
      <c r="AD18" s="49" t="n"/>
      <c r="AE18" s="49" t="n"/>
      <c r="AF18" s="49" t="n"/>
      <c r="AG18" s="49" t="n"/>
      <c r="AH18" s="47" t="inlineStr">
        <is>
          <t>Notas de saída no mês</t>
        </is>
      </c>
      <c r="AI18" s="48" t="n"/>
      <c r="AK18" s="47" t="n"/>
      <c r="AL18" s="47" t="n"/>
      <c r="AN18" s="47" t="n"/>
      <c r="AO18" s="47" t="n"/>
      <c r="AQ18" s="47" t="n"/>
      <c r="AS18" s="47" t="n"/>
    </row>
    <row r="19">
      <c r="A19" s="46" t="n"/>
      <c r="B19" s="47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50" t="n"/>
      <c r="X19" s="50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49" t="n"/>
      <c r="AH19" s="47" t="inlineStr">
        <is>
          <t>Sócio 1</t>
        </is>
      </c>
      <c r="AI19" s="47" t="n"/>
      <c r="AK19" s="47" t="n"/>
      <c r="AL19" s="47" t="n"/>
      <c r="AN19" s="47" t="n"/>
      <c r="AO19" s="47" t="n"/>
      <c r="AQ19" s="47" t="n"/>
      <c r="AS19" s="47" t="n"/>
    </row>
    <row r="20">
      <c r="A20" s="46" t="n"/>
      <c r="B20" s="47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50" t="n"/>
      <c r="X20" s="50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49" t="n"/>
      <c r="AH20" s="47" t="inlineStr">
        <is>
          <t>Sócio 2</t>
        </is>
      </c>
      <c r="AI20" s="47" t="n"/>
      <c r="AK20" s="47" t="n"/>
      <c r="AL20" s="47" t="n"/>
      <c r="AN20" s="47" t="n"/>
      <c r="AO20" s="47" t="n"/>
      <c r="AQ20" s="47" t="n"/>
      <c r="AS20" s="47" t="n"/>
    </row>
    <row r="21">
      <c r="A21" s="46" t="n"/>
      <c r="B21" s="47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50" t="n"/>
      <c r="X21" s="50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  <c r="AH21" s="47" t="inlineStr">
        <is>
          <t>Sócio 3</t>
        </is>
      </c>
      <c r="AI21" s="47" t="n"/>
      <c r="AK21" s="47" t="n"/>
      <c r="AL21" s="47" t="n"/>
      <c r="AN21" s="47" t="n"/>
      <c r="AO21" s="47" t="n"/>
      <c r="AQ21" s="47" t="n"/>
      <c r="AS21" s="47" t="n"/>
    </row>
    <row r="22">
      <c r="A22" s="46" t="n"/>
      <c r="B22" s="47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50" t="n"/>
      <c r="X22" s="50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49" t="n"/>
      <c r="AH22" s="47" t="inlineStr">
        <is>
          <t>Sócio 4</t>
        </is>
      </c>
      <c r="AI22" s="47" t="n"/>
      <c r="AK22" s="47" t="n"/>
      <c r="AL22" s="47" t="n"/>
      <c r="AN22" s="47" t="n"/>
      <c r="AO22" s="47" t="n"/>
      <c r="AQ22" s="47" t="n"/>
      <c r="AS22" s="47" t="n"/>
    </row>
    <row r="23">
      <c r="A23" s="46" t="n"/>
      <c r="B23" s="47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50" t="n"/>
      <c r="X23" s="50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49" t="n"/>
      <c r="AH23" s="47" t="inlineStr">
        <is>
          <t>Participação sócio 1</t>
        </is>
      </c>
      <c r="AI23" s="52" t="n"/>
      <c r="AK23" s="47" t="n"/>
      <c r="AL23" s="47" t="n"/>
      <c r="AN23" s="47" t="n"/>
      <c r="AO23" s="47" t="n"/>
      <c r="AQ23" s="47" t="n"/>
      <c r="AS23" s="47" t="n"/>
    </row>
    <row r="24">
      <c r="A24" s="46" t="n"/>
      <c r="B24" s="47" t="n"/>
      <c r="C24" s="48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50" t="n"/>
      <c r="X24" s="50" t="n"/>
      <c r="Y24" s="49" t="n"/>
      <c r="Z24" s="49" t="n"/>
      <c r="AA24" s="49" t="n"/>
      <c r="AB24" s="49" t="n"/>
      <c r="AC24" s="49" t="n"/>
      <c r="AD24" s="49" t="n"/>
      <c r="AE24" s="49" t="n"/>
      <c r="AF24" s="49" t="n"/>
      <c r="AG24" s="49" t="n"/>
      <c r="AH24" s="47" t="inlineStr">
        <is>
          <t>Participação sócio 2</t>
        </is>
      </c>
      <c r="AI24" s="52" t="n"/>
      <c r="AK24" s="47" t="n"/>
      <c r="AL24" s="47" t="n"/>
      <c r="AN24" s="47" t="n"/>
      <c r="AO24" s="47" t="n"/>
      <c r="AQ24" s="47" t="n"/>
      <c r="AS24" s="47" t="n"/>
    </row>
    <row r="25">
      <c r="A25" s="46" t="n"/>
      <c r="B25" s="47" t="n"/>
      <c r="C25" s="48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50" t="n"/>
      <c r="X25" s="50" t="n"/>
      <c r="Y25" s="49" t="n"/>
      <c r="Z25" s="49" t="n"/>
      <c r="AA25" s="49" t="n"/>
      <c r="AB25" s="49" t="n"/>
      <c r="AC25" s="49" t="n"/>
      <c r="AD25" s="49" t="n"/>
      <c r="AE25" s="49" t="n"/>
      <c r="AF25" s="49" t="n"/>
      <c r="AG25" s="49" t="n"/>
      <c r="AH25" s="47" t="inlineStr">
        <is>
          <t>Participação sócio 3</t>
        </is>
      </c>
      <c r="AI25" s="52" t="n"/>
      <c r="AK25" s="47" t="n"/>
      <c r="AL25" s="47" t="n"/>
      <c r="AN25" s="47" t="n"/>
      <c r="AO25" s="47" t="n"/>
      <c r="AQ25" s="47" t="n"/>
      <c r="AS25" s="47" t="n"/>
    </row>
    <row r="26">
      <c r="A26" s="46" t="n"/>
      <c r="B26" s="47" t="n"/>
      <c r="C26" s="48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50" t="n"/>
      <c r="X26" s="50" t="n"/>
      <c r="Y26" s="49" t="n"/>
      <c r="Z26" s="49" t="n"/>
      <c r="AA26" s="49" t="n"/>
      <c r="AB26" s="49" t="n"/>
      <c r="AC26" s="49" t="n"/>
      <c r="AD26" s="49" t="n"/>
      <c r="AE26" s="49" t="n"/>
      <c r="AF26" s="49" t="n"/>
      <c r="AG26" s="49" t="n"/>
      <c r="AH26" s="47" t="inlineStr">
        <is>
          <t>Participação sócio 4</t>
        </is>
      </c>
      <c r="AI26" s="52" t="n"/>
      <c r="AK26" s="47" t="n"/>
      <c r="AL26" s="47" t="n"/>
      <c r="AN26" s="47" t="n"/>
      <c r="AO26" s="47" t="n"/>
      <c r="AQ26" s="47" t="n"/>
      <c r="AS26" s="47" t="n"/>
    </row>
    <row r="27">
      <c r="A27" s="46" t="n"/>
      <c r="B27" s="47" t="n"/>
      <c r="C27" s="48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50" t="n"/>
      <c r="X27" s="50" t="n"/>
      <c r="Y27" s="49" t="n"/>
      <c r="Z27" s="49" t="n"/>
      <c r="AA27" s="49" t="n"/>
      <c r="AB27" s="49" t="n"/>
      <c r="AC27" s="49" t="n"/>
      <c r="AD27" s="49" t="n"/>
      <c r="AE27" s="49" t="n"/>
      <c r="AF27" s="49" t="n"/>
      <c r="AG27" s="49" t="n"/>
      <c r="AH27" s="47" t="inlineStr">
        <is>
          <t>Grupos de clientes que compraram no ano</t>
        </is>
      </c>
      <c r="AI27" s="48" t="n"/>
      <c r="AK27" s="47" t="n"/>
      <c r="AL27" s="47" t="n"/>
      <c r="AN27" s="47" t="n"/>
      <c r="AO27" s="47" t="n"/>
      <c r="AQ27" s="47" t="n"/>
      <c r="AS27" s="47" t="n"/>
    </row>
    <row r="28">
      <c r="A28" s="46" t="n"/>
      <c r="B28" s="47" t="n"/>
      <c r="C28" s="48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50" t="n"/>
      <c r="X28" s="50" t="n"/>
      <c r="Y28" s="49" t="n"/>
      <c r="Z28" s="49" t="n"/>
      <c r="AA28" s="49" t="n"/>
      <c r="AB28" s="49" t="n"/>
      <c r="AC28" s="49" t="n"/>
      <c r="AD28" s="49" t="n"/>
      <c r="AE28" s="49" t="n"/>
      <c r="AF28" s="49" t="n"/>
      <c r="AG28" s="49" t="n"/>
      <c r="AH28" s="47" t="inlineStr">
        <is>
          <t>Grupos que compraram pela 1ª vez no ano</t>
        </is>
      </c>
      <c r="AI28" s="48" t="n"/>
      <c r="AK28" s="47" t="n"/>
      <c r="AL28" s="47" t="n"/>
      <c r="AN28" s="47" t="n"/>
      <c r="AO28" s="47" t="n"/>
      <c r="AQ28" s="47" t="n"/>
      <c r="AS28" s="47" t="n"/>
    </row>
    <row r="29">
      <c r="A29" s="46" t="n"/>
      <c r="B29" s="47" t="n"/>
      <c r="C29" s="48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50" t="n"/>
      <c r="X29" s="50" t="n"/>
      <c r="Y29" s="49" t="n"/>
      <c r="Z29" s="49" t="n"/>
      <c r="AA29" s="49" t="n"/>
      <c r="AB29" s="49" t="n"/>
      <c r="AC29" s="49" t="n"/>
      <c r="AD29" s="49" t="n"/>
      <c r="AE29" s="49" t="n"/>
      <c r="AF29" s="49" t="n"/>
      <c r="AG29" s="49" t="n"/>
      <c r="AK29" s="47" t="n"/>
      <c r="AL29" s="47" t="n"/>
      <c r="AN29" s="47" t="n"/>
      <c r="AO29" s="47" t="n"/>
      <c r="AQ29" s="47" t="n"/>
      <c r="AS29" s="47" t="n"/>
    </row>
    <row r="30">
      <c r="A30" s="46" t="n"/>
      <c r="B30" s="47" t="n"/>
      <c r="C30" s="48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50" t="n"/>
      <c r="X30" s="50" t="n"/>
      <c r="Y30" s="49" t="n"/>
      <c r="Z30" s="49" t="n"/>
      <c r="AA30" s="49" t="n"/>
      <c r="AB30" s="49" t="n"/>
      <c r="AC30" s="49" t="n"/>
      <c r="AD30" s="49" t="n"/>
      <c r="AE30" s="49" t="n"/>
      <c r="AF30" s="49" t="n"/>
      <c r="AG30" s="49" t="n"/>
      <c r="AK30" s="47" t="n"/>
      <c r="AL30" s="47" t="n"/>
      <c r="AN30" s="47" t="n"/>
      <c r="AO30" s="47" t="n"/>
      <c r="AQ30" s="47" t="n"/>
      <c r="AS30" s="47" t="n"/>
    </row>
    <row r="31">
      <c r="A31" s="46" t="n"/>
      <c r="B31" s="47" t="n"/>
      <c r="C31" s="48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50" t="n"/>
      <c r="X31" s="50" t="n"/>
      <c r="Y31" s="49" t="n"/>
      <c r="Z31" s="49" t="n"/>
      <c r="AA31" s="49" t="n"/>
      <c r="AB31" s="49" t="n"/>
      <c r="AC31" s="49" t="n"/>
      <c r="AD31" s="49" t="n"/>
      <c r="AE31" s="49" t="n"/>
      <c r="AF31" s="49" t="n"/>
      <c r="AG31" s="49" t="n"/>
      <c r="AK31" s="47" t="n"/>
      <c r="AL31" s="47" t="n"/>
      <c r="AN31" s="47" t="n"/>
      <c r="AO31" s="47" t="n"/>
      <c r="AQ31" s="47" t="n"/>
      <c r="AS31" s="47" t="n"/>
    </row>
    <row r="32">
      <c r="A32" s="46" t="n"/>
      <c r="B32" s="47" t="n"/>
      <c r="C32" s="48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50" t="n"/>
      <c r="X32" s="50" t="n"/>
      <c r="Y32" s="49" t="n"/>
      <c r="Z32" s="49" t="n"/>
      <c r="AA32" s="49" t="n"/>
      <c r="AB32" s="49" t="n"/>
      <c r="AC32" s="49" t="n"/>
      <c r="AD32" s="49" t="n"/>
      <c r="AE32" s="49" t="n"/>
      <c r="AF32" s="49" t="n"/>
      <c r="AG32" s="49" t="n"/>
      <c r="AK32" s="47" t="n"/>
      <c r="AL32" s="47" t="n"/>
      <c r="AN32" s="47" t="n"/>
      <c r="AO32" s="47" t="n"/>
      <c r="AQ32" s="47" t="n"/>
      <c r="AS32" s="47" t="n"/>
    </row>
    <row r="33">
      <c r="A33" s="46" t="n"/>
      <c r="B33" s="47" t="n"/>
      <c r="C33" s="48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50" t="n"/>
      <c r="X33" s="50" t="n"/>
      <c r="Y33" s="49" t="n"/>
      <c r="Z33" s="49" t="n"/>
      <c r="AA33" s="49" t="n"/>
      <c r="AB33" s="49" t="n"/>
      <c r="AC33" s="49" t="n"/>
      <c r="AD33" s="49" t="n"/>
      <c r="AE33" s="49" t="n"/>
      <c r="AF33" s="49" t="n"/>
      <c r="AG33" s="49" t="n"/>
      <c r="AK33" s="47" t="n"/>
      <c r="AL33" s="47" t="n"/>
      <c r="AN33" s="47" t="n"/>
      <c r="AO33" s="47" t="n"/>
      <c r="AQ33" s="47" t="n"/>
      <c r="AS33" s="47" t="n"/>
    </row>
    <row r="34">
      <c r="A34" s="46" t="n"/>
      <c r="B34" s="47" t="n"/>
      <c r="C34" s="48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50" t="n"/>
      <c r="X34" s="50" t="n"/>
      <c r="Y34" s="49" t="n"/>
      <c r="Z34" s="49" t="n"/>
      <c r="AA34" s="49" t="n"/>
      <c r="AB34" s="49" t="n"/>
      <c r="AC34" s="49" t="n"/>
      <c r="AD34" s="49" t="n"/>
      <c r="AE34" s="49" t="n"/>
      <c r="AF34" s="49" t="n"/>
      <c r="AG34" s="49" t="n"/>
      <c r="AK34" s="47" t="n"/>
      <c r="AL34" s="47" t="n"/>
      <c r="AN34" s="47" t="n"/>
      <c r="AO34" s="47" t="n"/>
      <c r="AQ34" s="47" t="n"/>
      <c r="AS34" s="47" t="n"/>
    </row>
    <row r="35">
      <c r="A35" s="46" t="n"/>
      <c r="B35" s="47" t="n"/>
      <c r="C35" s="48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50" t="n"/>
      <c r="X35" s="50" t="n"/>
      <c r="Y35" s="49" t="n"/>
      <c r="Z35" s="49" t="n"/>
      <c r="AA35" s="49" t="n"/>
      <c r="AB35" s="49" t="n"/>
      <c r="AC35" s="49" t="n"/>
      <c r="AD35" s="49" t="n"/>
      <c r="AE35" s="49" t="n"/>
      <c r="AF35" s="49" t="n"/>
      <c r="AG35" s="49" t="n"/>
      <c r="AK35" s="47" t="n"/>
      <c r="AL35" s="47" t="n"/>
      <c r="AN35" s="47" t="n"/>
      <c r="AO35" s="47" t="n"/>
      <c r="AQ35" s="47" t="n"/>
      <c r="AS35" s="47" t="n"/>
    </row>
    <row r="36">
      <c r="A36" s="46" t="n"/>
      <c r="B36" s="47" t="n"/>
      <c r="C36" s="48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50" t="n"/>
      <c r="X36" s="50" t="n"/>
      <c r="Y36" s="49" t="n"/>
      <c r="Z36" s="49" t="n"/>
      <c r="AA36" s="49" t="n"/>
      <c r="AB36" s="49" t="n"/>
      <c r="AC36" s="49" t="n"/>
      <c r="AD36" s="49" t="n"/>
      <c r="AE36" s="49" t="n"/>
      <c r="AF36" s="49" t="n"/>
      <c r="AG36" s="49" t="n"/>
      <c r="AK36" s="47" t="n"/>
      <c r="AL36" s="47" t="n"/>
      <c r="AN36" s="47" t="n"/>
      <c r="AO36" s="47" t="n"/>
      <c r="AQ36" s="47" t="n"/>
      <c r="AS36" s="47" t="n"/>
    </row>
    <row r="37">
      <c r="A37" s="46" t="n"/>
      <c r="B37" s="47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50" t="n"/>
      <c r="X37" s="50" t="n"/>
      <c r="Y37" s="49" t="n"/>
      <c r="Z37" s="49" t="n"/>
      <c r="AA37" s="49" t="n"/>
      <c r="AB37" s="49" t="n"/>
      <c r="AC37" s="49" t="n"/>
      <c r="AD37" s="49" t="n"/>
      <c r="AE37" s="49" t="n"/>
      <c r="AF37" s="49" t="n"/>
      <c r="AG37" s="49" t="n"/>
      <c r="AK37" s="47" t="n"/>
      <c r="AL37" s="47" t="n"/>
      <c r="AN37" s="47" t="n"/>
      <c r="AO37" s="47" t="n"/>
      <c r="AQ37" s="47" t="n"/>
      <c r="AS37" s="47" t="n"/>
    </row>
    <row r="38">
      <c r="A38" s="46" t="n"/>
      <c r="B38" s="47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50" t="n"/>
      <c r="X38" s="50" t="n"/>
      <c r="Y38" s="49" t="n"/>
      <c r="Z38" s="49" t="n"/>
      <c r="AA38" s="49" t="n"/>
      <c r="AB38" s="49" t="n"/>
      <c r="AC38" s="49" t="n"/>
      <c r="AD38" s="49" t="n"/>
      <c r="AE38" s="49" t="n"/>
      <c r="AF38" s="49" t="n"/>
      <c r="AG38" s="49" t="n"/>
      <c r="AK38" s="47" t="n"/>
      <c r="AL38" s="47" t="n"/>
      <c r="AN38" s="47" t="n"/>
      <c r="AO38" s="47" t="n"/>
      <c r="AQ38" s="47" t="n"/>
      <c r="AS38" s="47" t="n"/>
    </row>
    <row r="39">
      <c r="A39" s="46" t="n"/>
      <c r="B39" s="47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50" t="n"/>
      <c r="X39" s="50" t="n"/>
      <c r="Y39" s="49" t="n"/>
      <c r="Z39" s="49" t="n"/>
      <c r="AA39" s="49" t="n"/>
      <c r="AB39" s="49" t="n"/>
      <c r="AC39" s="49" t="n"/>
      <c r="AD39" s="49" t="n"/>
      <c r="AE39" s="49" t="n"/>
      <c r="AF39" s="49" t="n"/>
      <c r="AG39" s="49" t="n"/>
      <c r="AK39" s="47" t="n"/>
      <c r="AL39" s="47" t="n"/>
      <c r="AN39" s="47" t="n"/>
      <c r="AO39" s="47" t="n"/>
      <c r="AQ39" s="47" t="n"/>
      <c r="AS39" s="47" t="n"/>
    </row>
    <row r="40">
      <c r="A40" s="46" t="n"/>
      <c r="B40" s="47" t="n"/>
      <c r="C40" s="48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50" t="n"/>
      <c r="X40" s="50" t="n"/>
      <c r="Y40" s="49" t="n"/>
      <c r="Z40" s="49" t="n"/>
      <c r="AA40" s="49" t="n"/>
      <c r="AB40" s="49" t="n"/>
      <c r="AC40" s="49" t="n"/>
      <c r="AD40" s="49" t="n"/>
      <c r="AE40" s="49" t="n"/>
      <c r="AF40" s="49" t="n"/>
      <c r="AG40" s="49" t="n"/>
      <c r="AK40" s="47" t="n"/>
      <c r="AL40" s="47" t="n"/>
      <c r="AN40" s="47" t="n"/>
      <c r="AO40" s="47" t="n"/>
      <c r="AQ40" s="47" t="n"/>
      <c r="AS40" s="47" t="n"/>
    </row>
    <row r="41">
      <c r="A41" s="46" t="n"/>
      <c r="B41" s="47" t="n"/>
      <c r="C41" s="48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50" t="n"/>
      <c r="X41" s="50" t="n"/>
      <c r="Y41" s="49" t="n"/>
      <c r="Z41" s="49" t="n"/>
      <c r="AA41" s="49" t="n"/>
      <c r="AB41" s="49" t="n"/>
      <c r="AC41" s="49" t="n"/>
      <c r="AD41" s="49" t="n"/>
      <c r="AE41" s="49" t="n"/>
      <c r="AF41" s="49" t="n"/>
      <c r="AG41" s="49" t="n"/>
      <c r="AK41" s="47" t="n"/>
      <c r="AL41" s="47" t="n"/>
      <c r="AN41" s="47" t="n"/>
      <c r="AO41" s="47" t="n"/>
      <c r="AQ41" s="47" t="n"/>
      <c r="AS41" s="47" t="n"/>
    </row>
    <row r="42">
      <c r="AK42" s="47" t="n"/>
      <c r="AL42" s="47" t="n"/>
      <c r="AN42" s="47" t="n"/>
      <c r="AO42" s="47" t="n"/>
      <c r="AQ42" s="47" t="n"/>
      <c r="AS42" s="47" t="n"/>
    </row>
    <row r="43">
      <c r="AK43" s="47" t="n"/>
      <c r="AL43" s="47" t="n"/>
      <c r="AN43" s="47" t="n"/>
      <c r="AO43" s="47" t="n"/>
      <c r="AQ43" s="47" t="n"/>
      <c r="AS43" s="47" t="n"/>
    </row>
    <row r="44">
      <c r="AK44" s="47" t="n"/>
      <c r="AL44" s="47" t="n"/>
      <c r="AN44" s="47" t="n"/>
      <c r="AO44" s="47" t="n"/>
      <c r="AQ44" s="47" t="n"/>
      <c r="AS44" s="47" t="n"/>
    </row>
    <row r="45">
      <c r="A45" s="15" t="inlineStr">
        <is>
          <t>Detalhe do mês</t>
        </is>
      </c>
    </row>
    <row r="46">
      <c r="A46" s="45" t="inlineStr">
        <is>
          <t>Mês</t>
        </is>
      </c>
      <c r="B46" s="45" t="inlineStr">
        <is>
          <t>Rótulo</t>
        </is>
      </c>
      <c r="C46" s="45" t="inlineStr">
        <is>
          <t>Tipo</t>
        </is>
      </c>
      <c r="D46" s="45" t="inlineStr">
        <is>
          <t>Item</t>
        </is>
      </c>
      <c r="E46" s="45" t="inlineStr">
        <is>
          <t>Chave</t>
        </is>
      </c>
      <c r="F46" s="45" t="inlineStr">
        <is>
          <t>Valor</t>
        </is>
      </c>
      <c r="G46" s="45" t="inlineStr">
        <is>
          <t>Notas</t>
        </is>
      </c>
    </row>
    <row r="47">
      <c r="A47" s="46" t="n"/>
      <c r="B47" s="47" t="n"/>
      <c r="C47" s="47" t="n"/>
      <c r="D47" s="47" t="n"/>
      <c r="E47" s="47" t="n"/>
      <c r="F47" s="49" t="n"/>
      <c r="G47" s="48" t="n"/>
    </row>
  </sheetData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AviZee</dc:creator>
  <dc:title xmlns:dc="http://purl.org/dc/elements/1.1/">Workbook de Fechamento</dc:title>
  <dcterms:created xmlns:dcterms="http://purl.org/dc/terms/" xmlns:xsi="http://www.w3.org/2001/XMLSchema-instance" xsi:type="dcterms:W3CDTF">2026-10-13T00:46:36Z</dcterms:created>
  <dcterms:modified xmlns:dcterms="http://purl.org/dc/terms/" xmlns:xsi="http://www.w3.org/2001/XMLSchema-instance" xsi:type="dcterms:W3CDTF">2026-10-13T00:46:36Z</dcterms:modified>
</cp:coreProperties>
</file>