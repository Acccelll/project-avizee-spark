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1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19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charts/chart20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1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5.xml" ContentType="application/vnd.openxmlformats-officedocument.drawing+xml"/>
  <Override PartName="/xl/charts/chart22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7.xml" ContentType="application/vnd.openxmlformats-officedocument.drawing+xml"/>
  <Override PartName="/xl/charts/chart24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18.xml" ContentType="application/vnd.openxmlformats-officedocument.drawing+xml"/>
  <Override PartName="/xl/charts/chart2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docProps/core.xml" ContentType="application/vnd.openxmlformats-package.core-properties+xml"/>
  <Override PartName="/xl/worksheets/sheetBase.xml" ContentType="application/vnd.openxmlformats-officedocument.spreadsheetml.worksheet+xml"/>
</Types>
</file>

<file path=_rels/.rels><?xml version='1.0' encoding='UTF-8' standalone='yes'?>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474d7429f80781/AviZee/Divulgação de Resultado/2026/"/>
    </mc:Choice>
  </mc:AlternateContent>
  <xr:revisionPtr revIDLastSave="1" documentId="13_ncr:1_{3F0A6E1A-2C29-472C-96F2-B49AAEF5B10D}" xr6:coauthVersionLast="47" xr6:coauthVersionMax="47" xr10:uidLastSave="{19B6A44B-5714-4F91-B5EB-77928773B837}"/>
  <bookViews>
    <workbookView xWindow="-108" yWindow="-108" windowWidth="23256" windowHeight="12456" tabRatio="896" firstSheet="0" activeTab="2" xr2:uid="{1EEC6164-5BF2-4CE3-AA0A-07AC2272C44C}"/>
  </bookViews>
  <sheets>
    <sheet name="Resultados Financeiros -&gt;" sheetId="1" r:id="rIdS1"/>
    <sheet name="Bridge Faturamento" sheetId="2" r:id="rIdS2"/>
    <sheet name="Confronto" sheetId="3" r:id="rIdS3"/>
    <sheet name="Caixa Livre" sheetId="4" r:id="rIdS4"/>
    <sheet name="Receita" sheetId="5" r:id="rIdS5"/>
    <sheet name="Despesa" sheetId="6" r:id="rIdS6"/>
    <sheet name="FOPAG" sheetId="7" r:id="rIdS7"/>
    <sheet name="Faturamento FY" sheetId="8" r:id="rIdS8"/>
    <sheet name="Working Capital -&gt;" sheetId="9" r:id="rIdS9"/>
    <sheet name="Estoque - Ativo" sheetId="10" r:id="rIdS10"/>
    <sheet name="Aging CR" sheetId="11" r:id="rIdS11"/>
    <sheet name="Aging CP" sheetId="12" r:id="rIdS12"/>
    <sheet name="Redes Sociais" sheetId="13" r:id="rIdS13"/>
    <sheet name="Lin vs Ins" sheetId="14" r:id="rIdS14"/>
    <sheet name="BASE" sheetId="15" state="hidden" r:id="rIdBase"/>
  </sheets>
  <calcPr calcId="191029" fullCalcOnLoad="1"/>
</workbook>
</file>

<file path=xl/sharedStrings.xml><?xml version="1.0" encoding="utf-8"?>
<sst xmlns="http://schemas.openxmlformats.org/spreadsheetml/2006/main" count="344" uniqueCount="120">
  <si>
    <t>PY</t>
  </si>
  <si>
    <t>Budget</t>
  </si>
  <si>
    <t>Total</t>
  </si>
  <si>
    <t>Vencido</t>
  </si>
  <si>
    <t>0 a 30</t>
  </si>
  <si>
    <t>30 a 60</t>
  </si>
  <si>
    <t>60 a 90</t>
  </si>
  <si>
    <t>90 a 120</t>
  </si>
  <si>
    <t>120 a 180</t>
  </si>
  <si>
    <t>180 a 360</t>
  </si>
  <si>
    <t>360+</t>
  </si>
  <si>
    <t>Estoque</t>
  </si>
  <si>
    <t>Saldo</t>
  </si>
  <si>
    <t>Data</t>
  </si>
  <si>
    <t>Caixa Livre</t>
  </si>
  <si>
    <t>TOTAL</t>
  </si>
  <si>
    <t>Jan</t>
  </si>
  <si>
    <t>Mar</t>
  </si>
  <si>
    <t>Jun</t>
  </si>
  <si>
    <t>Jul</t>
  </si>
  <si>
    <t>Nov</t>
  </si>
  <si>
    <t>FY</t>
  </si>
  <si>
    <t>90+</t>
  </si>
  <si>
    <t>A vencer</t>
  </si>
  <si>
    <t>Estoque Total</t>
  </si>
  <si>
    <t>Fornecedores</t>
  </si>
  <si>
    <t>Bloqueado</t>
  </si>
  <si>
    <t>Dez</t>
  </si>
  <si>
    <t>Out</t>
  </si>
  <si>
    <t>Set</t>
  </si>
  <si>
    <t>Ago</t>
  </si>
  <si>
    <t>Mai</t>
  </si>
  <si>
    <t>Abr</t>
  </si>
  <si>
    <t>Fev</t>
  </si>
  <si>
    <t>Total Final</t>
  </si>
  <si>
    <t>Total Inicial</t>
  </si>
  <si>
    <t>Disponivel</t>
  </si>
  <si>
    <t>Ano</t>
  </si>
  <si>
    <t>Mês</t>
  </si>
  <si>
    <t>Caixa - Atual</t>
  </si>
  <si>
    <t>1Q24</t>
  </si>
  <si>
    <t>2Q24</t>
  </si>
  <si>
    <t>3Q24</t>
  </si>
  <si>
    <t>4Q24</t>
  </si>
  <si>
    <t>Linkedin</t>
  </si>
  <si>
    <t>Variação</t>
  </si>
  <si>
    <t>Instagram</t>
  </si>
  <si>
    <t>Faturamento - Atual</t>
  </si>
  <si>
    <t>Faturado</t>
  </si>
  <si>
    <t>Total Faturado</t>
  </si>
  <si>
    <t>Faturamento</t>
  </si>
  <si>
    <t>Confronto</t>
  </si>
  <si>
    <t>Despesa</t>
  </si>
  <si>
    <t/>
  </si>
  <si>
    <t>Limite Fat.</t>
  </si>
  <si>
    <t>R$</t>
  </si>
  <si>
    <t>Clientes</t>
  </si>
  <si>
    <t>Produtos</t>
  </si>
  <si>
    <t>Inicio 25</t>
  </si>
  <si>
    <t>Inicio 24</t>
  </si>
  <si>
    <t>1Q25</t>
  </si>
  <si>
    <t>2Q25</t>
  </si>
  <si>
    <t>3Q25</t>
  </si>
  <si>
    <t>4Q25</t>
  </si>
  <si>
    <t>Variação %</t>
  </si>
  <si>
    <t>Receita 25</t>
  </si>
  <si>
    <t>Despesa 25</t>
  </si>
  <si>
    <t>Receita 24</t>
  </si>
  <si>
    <t>RESULTADO 24</t>
  </si>
  <si>
    <t>Despesa 24</t>
  </si>
  <si>
    <t>RESULTADO 25</t>
  </si>
  <si>
    <t>Total (Presente)</t>
  </si>
  <si>
    <t>FOPAG</t>
  </si>
  <si>
    <t>jan-25</t>
  </si>
  <si>
    <t>fev-25</t>
  </si>
  <si>
    <t>mar-25</t>
  </si>
  <si>
    <t>abr-25</t>
  </si>
  <si>
    <t>mai-25</t>
  </si>
  <si>
    <t>jun-25</t>
  </si>
  <si>
    <t>jul-25</t>
  </si>
  <si>
    <t>ago-25</t>
  </si>
  <si>
    <t>set-25</t>
  </si>
  <si>
    <t>out-25</t>
  </si>
  <si>
    <t>nov-25</t>
  </si>
  <si>
    <t>dez-25</t>
  </si>
  <si>
    <t>3.1.1.04.002</t>
  </si>
  <si>
    <t>Retirada Sócio - Elber Medeiros</t>
  </si>
  <si>
    <t>Saldo25</t>
  </si>
  <si>
    <t>Retirada25</t>
  </si>
  <si>
    <t>M. Anterior</t>
  </si>
  <si>
    <t>Receita 26</t>
  </si>
  <si>
    <t>Despesa 26</t>
  </si>
  <si>
    <t>RESULTADO 26</t>
  </si>
  <si>
    <t>1Q26</t>
  </si>
  <si>
    <t>2Q26</t>
  </si>
  <si>
    <t>3Q26</t>
  </si>
  <si>
    <t>4Q26</t>
  </si>
  <si>
    <t>Var. Caixa</t>
  </si>
  <si>
    <t>Caixa 24</t>
  </si>
  <si>
    <t>Caixa 25</t>
  </si>
  <si>
    <t>Caixa 26</t>
  </si>
  <si>
    <t>jan-26</t>
  </si>
  <si>
    <t>fev-26</t>
  </si>
  <si>
    <t>mar-26</t>
  </si>
  <si>
    <t>abr-26</t>
  </si>
  <si>
    <t>mai-26</t>
  </si>
  <si>
    <t>jun-26</t>
  </si>
  <si>
    <t>jul-26</t>
  </si>
  <si>
    <t>ago-26</t>
  </si>
  <si>
    <t>set-26</t>
  </si>
  <si>
    <t>out-26</t>
  </si>
  <si>
    <t>nov-26</t>
  </si>
  <si>
    <t>dez-26</t>
  </si>
  <si>
    <t>Saldo26</t>
  </si>
  <si>
    <t>Retirada26</t>
  </si>
  <si>
    <t>Inicio 26</t>
  </si>
  <si>
    <t>Materiais</t>
  </si>
  <si>
    <t>Total Var. (%)</t>
  </si>
  <si>
    <t>Total (Acum.)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</si>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</sst>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8" formatCode="&quot;R$&quot;\ #,##0.00;[Red]\-&quot;R$&quot;\ #,##0.00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[$-409]d\-mmm\-yyyy;@"/>
    <numFmt numFmtId="168" formatCode="0.0%"/>
    <numFmt numFmtId="169" formatCode="[$-409]mmm\-yy;@"/>
    <numFmt numFmtId="170" formatCode="#,##0.0"/>
    <numFmt numFmtId="171" formatCode="_(* #,##0.0_);_(* \(#,##0.0\);_(* &quot;-&quot;??_);_(@_)"/>
    <numFmt numFmtId="172" formatCode="* #,##0.0_);* \(#,##0.0\);* \-_);* @_)"/>
    <numFmt numFmtId="173" formatCode="_-* #,##0.0_-;\-* #,##0.0_-;_-* &quot;-&quot;?_-;_-@_-"/>
    <numFmt numFmtId="174" formatCode="_-* #,##0.000_-;\-* #,##0.000_-;_-* &quot;-&quot;?_-;_-@_-"/>
    <numFmt numFmtId="175" formatCode="_(* #,##0_);_(* \(#,##0\);_(* &quot;-&quot;??_);_(@_)"/>
    <numFmt numFmtId="176" formatCode="[$-416]mmm\-yy;@"/>
    <numFmt numFmtId="177" formatCode="0.0_);\(0.0\)"/>
    <numFmt numFmtId="178" formatCode="* #,##0_);* \(#,##0\);* \-_);* @_)"/>
    <numFmt numFmtId="179" formatCode="0&quot;p.p&quot;"/>
    <numFmt numFmtId="180" formatCode="0&quot; p.p. &quot;"/>
    <numFmt numFmtId="181" formatCode="0.000"/>
    <numFmt numFmtId="182" formatCode="0.0&quot;x&quot;"/>
    <numFmt numFmtId="183" formatCode="mmm/yyyy"/>
    <numFmt numFmtId="184" formatCode="_(* #,##0_);_(* \(#,##0\);_(* &quot;-&quot;_);_(@_)"/>
    <numFmt numFmtId="185" formatCode="_(* #,##0.000_);_(* \(#,##0.000\);_(* &quot;-&quot;??_);_(@_)"/>
    <numFmt numFmtId="186" formatCode="_-* #,##0_-;\-* #,##0_-;_-* &quot;-&quot;??_-;_-@_-"/>
    <numFmt numFmtId="187" formatCode="_-* #,##0.00000_-;\-* #,##0.00000_-;_-* &quot;-&quot;??_-;_-@_-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4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sz val="18"/>
      <color rgb="FF000000"/>
      <name val="Calibri"/>
      <family val="2"/>
    </font>
    <font>
      <sz val="18"/>
      <name val="Arial"/>
      <family val="2"/>
    </font>
    <font>
      <b/>
      <sz val="18"/>
      <color rgb="FFFFFFFF"/>
      <name val="Calibri"/>
      <family val="2"/>
    </font>
    <font>
      <b/>
      <sz val="20"/>
      <color rgb="FFFFFFFF"/>
      <name val="Calibri"/>
      <family val="2"/>
    </font>
    <font>
      <i/>
      <sz val="18"/>
      <color rgb="FF000000"/>
      <name val="Calibri"/>
      <family val="2"/>
    </font>
    <font>
      <b/>
      <sz val="14"/>
      <color rgb="FFFFFFFF"/>
      <name val="Calibri"/>
      <family val="2"/>
    </font>
    <font>
      <i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20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rgb="FF000000"/>
      <name val="Arial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i/>
      <sz val="24"/>
      <color rgb="FF000000"/>
      <name val="Calibri"/>
      <family val="2"/>
    </font>
    <font>
      <b/>
      <sz val="24"/>
      <color rgb="FFFFFFFF"/>
      <name val="Calibri"/>
      <family val="2"/>
    </font>
    <font>
      <b/>
      <sz val="24"/>
      <color rgb="FF000000"/>
      <name val="Calibri"/>
      <family val="2"/>
    </font>
    <font>
      <sz val="24"/>
      <color rgb="FF000000"/>
      <name val="Calibri"/>
      <family val="2"/>
    </font>
    <font>
      <b/>
      <sz val="18"/>
      <color rgb="FFFFFFFF"/>
      <name val="Calibri"/>
      <family val="2"/>
    </font>
    <font>
      <b/>
      <sz val="18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Arial"/>
      <family val="2"/>
    </font>
    <font>
      <b/>
      <sz val="11"/>
      <color theme="1"/>
      <name val="Arial"/>
      <family val="2"/>
    </font>
    <font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b/>
      <sz val="14"/>
      <name val="Arial"/>
      <family val="2"/>
    </font>
    <font>
      <sz val="11"/>
      <color theme="1"/>
      <name val="Calibri"/>
      <family val="2"/>
    </font>
    <font>
      <b/>
      <sz val="14"/>
      <color theme="0"/>
      <name val="Arial"/>
      <family val="2"/>
    </font>
    <font>
      <b/>
      <i/>
      <sz val="14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i/>
      <sz val="14"/>
      <name val="Arial"/>
      <family val="2"/>
    </font>
    <font>
      <b/>
      <i/>
      <sz val="14"/>
      <color rgb="FFFF0000"/>
      <name val="Arial"/>
      <family val="2"/>
    </font>
    <font>
      <sz val="10"/>
      <name val="Verdana   "/>
    </font>
    <font>
      <sz val="11"/>
      <color rgb="FF000000"/>
      <name val="Calibri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i/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b/>
      <i/>
      <sz val="14"/>
      <color theme="1"/>
      <name val="Arial"/>
      <family val="2"/>
    </font>
    <font>
      <i/>
      <sz val="14"/>
      <color rgb="FFA6A6A6"/>
      <name val="Arial"/>
      <family val="2"/>
    </font>
    <font>
      <b/>
      <i/>
      <sz val="14"/>
      <color rgb="FFA6A6A6"/>
      <name val="Arial"/>
      <family val="2"/>
    </font>
    <font>
      <i/>
      <sz val="14"/>
      <color rgb="FF000000"/>
      <name val="Arial"/>
      <family val="2"/>
    </font>
    <font>
      <sz val="16"/>
      <color theme="1"/>
      <name val="Arial"/>
      <family val="2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8"/>
      <color rgb="FF000000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0"/>
      <name val="Arial"/>
      <family val="2"/>
    </font>
    <font>
      <i/>
      <sz val="14"/>
      <color theme="1"/>
      <name val="Arial"/>
      <family val="2"/>
    </font>
    <font>
      <i/>
      <sz val="14"/>
      <color rgb="FF808080"/>
      <name val="Arial"/>
      <family val="2"/>
    </font>
    <font>
      <b/>
      <i/>
      <sz val="14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sz val="16"/>
      <color rgb="FFFFFFFF"/>
      <name val="Arial"/>
      <family val="2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FFFFFF"/>
      <name val="Calibri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 tint="0.34998626667073579"/>
      <name val="Calibri"/>
      <family val="2"/>
      <scheme val="minor"/>
    </font>
    <font>
      <sz val="14"/>
      <color indexed="8"/>
      <name val="Arial"/>
      <family val="2"/>
    </font>
    <font>
      <sz val="16"/>
      <color theme="1"/>
      <name val="Calibri"/>
      <family val="2"/>
      <scheme val="minor"/>
    </font>
    <font>
      <i/>
      <sz val="16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8"/>
      <color rgb="FF000000"/>
      <name val="Calibri"/>
      <family val="2"/>
      <scheme val="minor"/>
    </font>
    <font>
      <sz val="18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0"/>
      <name val="Arial"/>
      <family val="2"/>
    </font>
    <font>
      <b/>
      <u val="singleAccounting"/>
      <sz val="14"/>
      <color theme="0" tint="-0.499984740745262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4"/>
      <name val="Arial"/>
      <family val="2"/>
    </font>
    <font>
      <b/>
      <sz val="10"/>
      <color theme="0"/>
      <name val="Arial"/>
      <family val="2"/>
    </font>
    <font>
      <b/>
      <sz val="10"/>
      <color theme="1" tint="4.9989318521683403E-2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00436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A3C4"/>
        <bgColor indexed="64"/>
      </patternFill>
    </fill>
    <fill>
      <patternFill patternType="solid">
        <fgColor rgb="FFADB9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7C3C3"/>
        <bgColor indexed="64"/>
      </patternFill>
    </fill>
    <fill>
      <patternFill patternType="solid">
        <fgColor theme="0" tint="-0.14581743827631458"/>
        <bgColor indexed="64"/>
      </patternFill>
    </fill>
    <fill>
      <patternFill patternType="solid">
        <fgColor theme="4" tint="-0.4945219275490584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-0.48945585497604299"/>
        <bgColor indexed="64"/>
      </patternFill>
    </fill>
    <fill>
      <patternFill patternType="solid">
        <fgColor theme="4" tint="-0.4890896328623309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76B8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23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7F7F7F"/>
      </bottom>
      <diagonal/>
    </border>
    <border>
      <left style="medium">
        <color rgb="FF000000"/>
      </left>
      <right/>
      <top/>
      <bottom style="thick">
        <color rgb="FF7F7F7F"/>
      </bottom>
      <diagonal/>
    </border>
    <border>
      <left/>
      <right/>
      <top/>
      <bottom style="thick">
        <color rgb="FF7F7F7F"/>
      </bottom>
      <diagonal/>
    </border>
    <border>
      <left/>
      <right style="medium">
        <color rgb="FF000000"/>
      </right>
      <top/>
      <bottom style="thick">
        <color rgb="FF7F7F7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/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/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ashed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ashed">
        <color rgb="FF000000"/>
      </right>
      <top/>
      <bottom/>
      <diagonal/>
    </border>
    <border>
      <left style="dashed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ash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dashed">
        <color rgb="FF000000"/>
      </right>
      <top style="medium">
        <color rgb="FF000000"/>
      </top>
      <bottom style="thick">
        <color rgb="FF000000"/>
      </bottom>
      <diagonal/>
    </border>
    <border>
      <left style="dashed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thin">
        <color indexed="64"/>
      </top>
      <bottom/>
      <diagonal/>
    </border>
    <border>
      <left/>
      <right style="medium">
        <color rgb="FFFFFFFF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FFFF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dashed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dashed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/>
      <right style="dotted">
        <color rgb="FF000000"/>
      </right>
      <top/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 style="thin">
        <color indexed="64"/>
      </left>
      <right style="dotted">
        <color auto="1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FFFFFF"/>
      </left>
      <right/>
      <top style="medium">
        <color indexed="64"/>
      </top>
      <bottom style="medium">
        <color rgb="FF000000"/>
      </bottom>
      <diagonal/>
    </border>
    <border>
      <left style="medium">
        <color rgb="FFFFFFFF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auto="1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/>
      <diagonal/>
    </border>
    <border>
      <left/>
      <right style="dotted">
        <color rgb="FF000000"/>
      </right>
      <top/>
      <bottom style="medium">
        <color auto="1"/>
      </bottom>
      <diagonal/>
    </border>
    <border>
      <left/>
      <right style="dotted">
        <color rgb="FF000000"/>
      </right>
      <top style="medium">
        <color indexed="64"/>
      </top>
      <bottom/>
      <diagonal/>
    </border>
    <border>
      <left style="medium">
        <color indexed="64"/>
      </left>
      <right style="dotted">
        <color rgb="FF000000"/>
      </right>
      <top style="medium">
        <color indexed="64"/>
      </top>
      <bottom/>
      <diagonal/>
    </border>
    <border>
      <left style="medium">
        <color indexed="64"/>
      </left>
      <right style="dotted">
        <color rgb="FF000000"/>
      </right>
      <top/>
      <bottom/>
      <diagonal/>
    </border>
    <border>
      <left style="medium">
        <color indexed="64"/>
      </left>
      <right style="dotted">
        <color rgb="FF000000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rgb="FFFFFFFF"/>
      </top>
      <bottom style="medium">
        <color indexed="64"/>
      </bottom>
      <diagonal/>
    </border>
    <border>
      <left style="medium">
        <color indexed="64"/>
      </left>
      <right/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indexed="64"/>
      </right>
      <top style="medium">
        <color indexed="64"/>
      </top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 style="thin">
        <color rgb="FFFFFFFF"/>
      </bottom>
      <diagonal/>
    </border>
    <border>
      <left/>
      <right style="mediumDashed">
        <color theme="0" tint="-0.249977111117893"/>
      </right>
      <top/>
      <bottom style="mediumDashed">
        <color theme="0" tint="-0.249977111117893"/>
      </bottom>
      <diagonal/>
    </border>
    <border>
      <left/>
      <right/>
      <top/>
      <bottom style="mediumDashed">
        <color theme="0" tint="-0.249977111117893"/>
      </bottom>
      <diagonal/>
    </border>
    <border>
      <left style="mediumDashed">
        <color theme="0" tint="-0.249977111117893"/>
      </left>
      <right/>
      <top/>
      <bottom style="mediumDashed">
        <color theme="0" tint="-0.249977111117893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 style="thin">
        <color rgb="FFFFFFFF"/>
      </bottom>
      <diagonal/>
    </border>
    <border>
      <left/>
      <right style="thin">
        <color indexed="64"/>
      </right>
      <top style="thin">
        <color rgb="FFFFFFFF"/>
      </top>
      <bottom/>
      <diagonal/>
    </border>
    <border>
      <left style="thin">
        <color indexed="64"/>
      </left>
      <right/>
      <top style="thin">
        <color rgb="FFFFFFFF"/>
      </top>
      <bottom/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hair">
        <color theme="0" tint="-0.249977111117893"/>
      </left>
      <right/>
      <top/>
      <bottom style="thin">
        <color indexed="64"/>
      </bottom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/>
      <top style="thin">
        <color indexed="64"/>
      </top>
      <bottom/>
      <diagonal/>
    </border>
    <border>
      <left/>
      <right style="hair">
        <color theme="0" tint="-0.249977111117893"/>
      </right>
      <top style="thin">
        <color indexed="64"/>
      </top>
      <bottom/>
      <diagonal/>
    </border>
    <border>
      <left/>
      <right style="mediumDashed">
        <color theme="0" tint="-0.249977111117893"/>
      </right>
      <top/>
      <bottom/>
      <diagonal/>
    </border>
    <border>
      <left style="mediumDashed">
        <color theme="0" tint="-0.249977111117893"/>
      </left>
      <right/>
      <top/>
      <bottom/>
      <diagonal/>
    </border>
    <border>
      <left/>
      <right style="mediumDashed">
        <color theme="0" tint="-0.249977111117893"/>
      </right>
      <top style="mediumDashed">
        <color theme="0" tint="-0.249977111117893"/>
      </top>
      <bottom/>
      <diagonal/>
    </border>
    <border>
      <left/>
      <right/>
      <top style="mediumDashed">
        <color theme="0" tint="-0.249977111117893"/>
      </top>
      <bottom/>
      <diagonal/>
    </border>
    <border>
      <left style="mediumDashed">
        <color theme="0" tint="-0.249977111117893"/>
      </left>
      <right/>
      <top style="mediumDashed">
        <color theme="0" tint="-0.249977111117893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hair">
        <color theme="0" tint="-0.249977111117893"/>
      </left>
      <right/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hair">
        <color indexed="64"/>
      </left>
      <right/>
      <top style="thin">
        <color auto="1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3">
    <xf numFmtId="0" fontId="0" fillId="0" borderId="0"/>
    <xf numFmtId="9" fontId="1" fillId="0" borderId="0" applyFont="0" applyFill="0" applyBorder="0" applyAlignment="0" applyProtection="0"/>
    <xf numFmtId="0" fontId="27" fillId="0" borderId="0"/>
    <xf numFmtId="0" fontId="27" fillId="0" borderId="0"/>
    <xf numFmtId="0" fontId="1" fillId="0" borderId="0"/>
    <xf numFmtId="0" fontId="32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 applyNumberFormat="0" applyFont="0" applyFill="0" applyBorder="0" applyAlignment="0" applyProtection="0"/>
    <xf numFmtId="0" fontId="1" fillId="0" borderId="0"/>
    <xf numFmtId="0" fontId="27" fillId="0" borderId="0"/>
    <xf numFmtId="165" fontId="1" fillId="0" borderId="0" applyFont="0" applyFill="0" applyBorder="0" applyAlignment="0" applyProtection="0"/>
    <xf numFmtId="0" fontId="40" fillId="0" borderId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43" fillId="0" borderId="0"/>
    <xf numFmtId="43" fontId="52" fillId="0" borderId="0" applyFont="0" applyFill="0" applyBorder="0" applyAlignment="0" applyProtection="0"/>
    <xf numFmtId="0" fontId="52" fillId="0" borderId="0"/>
    <xf numFmtId="43" fontId="53" fillId="0" borderId="0" applyFont="0" applyFill="0" applyBorder="0" applyAlignment="0" applyProtection="0"/>
    <xf numFmtId="0" fontId="4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2" fillId="0" borderId="0" applyNumberFormat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9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0" fontId="32" fillId="0" borderId="0"/>
    <xf numFmtId="0" fontId="32" fillId="0" borderId="0"/>
  </cellStyleXfs>
  <cellXfs count="1247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left" wrapText="1" readingOrder="1"/>
    </xf>
    <xf numFmtId="0" fontId="5" fillId="0" borderId="10" xfId="0" applyFont="1" applyBorder="1" applyAlignment="1">
      <alignment horizontal="left" wrapText="1" readingOrder="1"/>
    </xf>
    <xf numFmtId="0" fontId="3" fillId="5" borderId="11" xfId="0" applyFont="1" applyFill="1" applyBorder="1" applyAlignment="1">
      <alignment horizontal="center" wrapText="1" readingOrder="1"/>
    </xf>
    <xf numFmtId="0" fontId="3" fillId="5" borderId="12" xfId="0" applyFont="1" applyFill="1" applyBorder="1" applyAlignment="1">
      <alignment horizontal="center" wrapText="1" readingOrder="1"/>
    </xf>
    <xf numFmtId="0" fontId="3" fillId="5" borderId="13" xfId="0" applyFont="1" applyFill="1" applyBorder="1" applyAlignment="1">
      <alignment horizontal="center" wrapText="1" readingOrder="1"/>
    </xf>
    <xf numFmtId="0" fontId="3" fillId="6" borderId="18" xfId="0" applyFont="1" applyFill="1" applyBorder="1" applyAlignment="1">
      <alignment horizontal="left" wrapText="1" readingOrder="1"/>
    </xf>
    <xf numFmtId="0" fontId="3" fillId="7" borderId="19" xfId="0" applyFont="1" applyFill="1" applyBorder="1" applyAlignment="1">
      <alignment horizontal="left" wrapText="1" readingOrder="1"/>
    </xf>
    <xf numFmtId="0" fontId="3" fillId="7" borderId="22" xfId="0" applyFont="1" applyFill="1" applyBorder="1" applyAlignment="1">
      <alignment horizontal="left" wrapText="1" readingOrder="1"/>
    </xf>
    <xf numFmtId="0" fontId="13" fillId="5" borderId="18" xfId="0" applyFont="1" applyFill="1" applyBorder="1" applyAlignment="1">
      <alignment horizontal="center" wrapText="1" readingOrder="1"/>
    </xf>
    <xf numFmtId="0" fontId="15" fillId="0" borderId="32" xfId="0" applyFont="1" applyBorder="1" applyAlignment="1">
      <alignment horizontal="center" vertical="center" wrapText="1" readingOrder="1"/>
    </xf>
    <xf numFmtId="0" fontId="16" fillId="10" borderId="22" xfId="0" applyFont="1" applyFill="1" applyBorder="1" applyAlignment="1">
      <alignment horizontal="center" vertical="center" wrapText="1" readingOrder="1"/>
    </xf>
    <xf numFmtId="0" fontId="17" fillId="10" borderId="22" xfId="0" applyFont="1" applyFill="1" applyBorder="1" applyAlignment="1">
      <alignment horizontal="center" wrapText="1" readingOrder="1"/>
    </xf>
    <xf numFmtId="0" fontId="18" fillId="0" borderId="22" xfId="0" applyFont="1" applyBorder="1" applyAlignment="1">
      <alignment horizontal="left" vertical="center" wrapText="1" indent="4" readingOrder="1"/>
    </xf>
    <xf numFmtId="0" fontId="18" fillId="0" borderId="22" xfId="0" applyFont="1" applyBorder="1" applyAlignment="1">
      <alignment horizontal="center" vertical="center" wrapText="1" readingOrder="1"/>
    </xf>
    <xf numFmtId="0" fontId="7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wrapText="1"/>
    </xf>
    <xf numFmtId="0" fontId="18" fillId="3" borderId="22" xfId="0" applyFont="1" applyFill="1" applyBorder="1" applyAlignment="1">
      <alignment horizontal="left" vertical="center" wrapText="1" indent="4" readingOrder="1"/>
    </xf>
    <xf numFmtId="0" fontId="18" fillId="3" borderId="22" xfId="0" applyFont="1" applyFill="1" applyBorder="1" applyAlignment="1">
      <alignment horizontal="center" vertical="center" wrapText="1" readingOrder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wrapText="1"/>
    </xf>
    <xf numFmtId="0" fontId="19" fillId="0" borderId="22" xfId="0" applyFont="1" applyBorder="1" applyAlignment="1">
      <alignment horizontal="left" vertical="center" wrapText="1" indent="2" readingOrder="1"/>
    </xf>
    <xf numFmtId="0" fontId="19" fillId="0" borderId="22" xfId="0" applyFont="1" applyBorder="1" applyAlignment="1">
      <alignment horizontal="center" vertical="center" wrapText="1" readingOrder="1"/>
    </xf>
    <xf numFmtId="0" fontId="18" fillId="0" borderId="27" xfId="0" applyFont="1" applyBorder="1" applyAlignment="1">
      <alignment horizontal="left" vertical="center" wrapText="1" indent="4" readingOrder="1"/>
    </xf>
    <xf numFmtId="0" fontId="18" fillId="0" borderId="27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 readingOrder="1"/>
    </xf>
    <xf numFmtId="0" fontId="22" fillId="0" borderId="0" xfId="0" applyFont="1" applyAlignment="1">
      <alignment horizontal="center" wrapText="1" readingOrder="1"/>
    </xf>
    <xf numFmtId="0" fontId="22" fillId="7" borderId="0" xfId="0" applyFont="1" applyFill="1" applyAlignment="1">
      <alignment horizontal="center" wrapText="1" readingOrder="1"/>
    </xf>
    <xf numFmtId="0" fontId="7" fillId="7" borderId="0" xfId="0" applyFont="1" applyFill="1" applyAlignment="1">
      <alignment horizontal="center" vertical="center" wrapText="1"/>
    </xf>
    <xf numFmtId="167" fontId="23" fillId="0" borderId="0" xfId="0" applyNumberFormat="1" applyFont="1" applyAlignment="1">
      <alignment horizontal="center" wrapText="1" readingOrder="1"/>
    </xf>
    <xf numFmtId="167" fontId="23" fillId="7" borderId="0" xfId="0" applyNumberFormat="1" applyFont="1" applyFill="1" applyAlignment="1">
      <alignment horizontal="center" wrapText="1" readingOrder="1"/>
    </xf>
    <xf numFmtId="167" fontId="7" fillId="0" borderId="0" xfId="0" applyNumberFormat="1" applyFont="1" applyAlignment="1">
      <alignment horizontal="center" vertical="center" wrapText="1"/>
    </xf>
    <xf numFmtId="167" fontId="7" fillId="7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left" wrapText="1" readingOrder="1"/>
    </xf>
    <xf numFmtId="0" fontId="6" fillId="0" borderId="0" xfId="0" applyFont="1" applyAlignment="1">
      <alignment horizontal="center" wrapText="1" readingOrder="1"/>
    </xf>
    <xf numFmtId="0" fontId="6" fillId="7" borderId="0" xfId="0" applyFont="1" applyFill="1" applyAlignment="1">
      <alignment horizontal="left" wrapText="1" readingOrder="1"/>
    </xf>
    <xf numFmtId="0" fontId="6" fillId="7" borderId="0" xfId="0" applyFont="1" applyFill="1" applyAlignment="1">
      <alignment horizontal="center" wrapText="1" readingOrder="1"/>
    </xf>
    <xf numFmtId="0" fontId="6" fillId="8" borderId="0" xfId="0" applyFont="1" applyFill="1" applyAlignment="1">
      <alignment horizontal="left" wrapText="1" readingOrder="1"/>
    </xf>
    <xf numFmtId="0" fontId="6" fillId="8" borderId="0" xfId="0" applyFont="1" applyFill="1" applyAlignment="1">
      <alignment horizontal="center" wrapText="1" readingOrder="1"/>
    </xf>
    <xf numFmtId="0" fontId="25" fillId="7" borderId="0" xfId="0" applyFont="1" applyFill="1" applyAlignment="1">
      <alignment horizontal="left" wrapText="1" readingOrder="1"/>
    </xf>
    <xf numFmtId="0" fontId="25" fillId="0" borderId="0" xfId="0" applyFont="1" applyAlignment="1">
      <alignment horizontal="left" wrapText="1" readingOrder="1"/>
    </xf>
    <xf numFmtId="0" fontId="6" fillId="0" borderId="0" xfId="0" applyFont="1" applyAlignment="1">
      <alignment horizontal="left" wrapText="1" indent="2" readingOrder="1"/>
    </xf>
    <xf numFmtId="0" fontId="6" fillId="3" borderId="0" xfId="0" applyFont="1" applyFill="1" applyAlignment="1">
      <alignment horizontal="left" wrapText="1" readingOrder="1"/>
    </xf>
    <xf numFmtId="9" fontId="6" fillId="0" borderId="0" xfId="0" applyNumberFormat="1" applyFont="1" applyAlignment="1">
      <alignment horizontal="center" wrapText="1" readingOrder="1"/>
    </xf>
    <xf numFmtId="166" fontId="6" fillId="0" borderId="0" xfId="0" applyNumberFormat="1" applyFont="1" applyAlignment="1">
      <alignment horizontal="center" wrapText="1" readingOrder="1"/>
    </xf>
    <xf numFmtId="166" fontId="6" fillId="3" borderId="0" xfId="0" applyNumberFormat="1" applyFont="1" applyFill="1" applyAlignment="1">
      <alignment horizontal="center" wrapText="1" readingOrder="1"/>
    </xf>
    <xf numFmtId="166" fontId="6" fillId="7" borderId="0" xfId="0" applyNumberFormat="1" applyFont="1" applyFill="1" applyAlignment="1">
      <alignment horizontal="center" wrapText="1" readingOrder="1"/>
    </xf>
    <xf numFmtId="166" fontId="23" fillId="0" borderId="0" xfId="0" applyNumberFormat="1" applyFont="1" applyAlignment="1">
      <alignment horizontal="center" wrapText="1" readingOrder="1"/>
    </xf>
    <xf numFmtId="166" fontId="23" fillId="7" borderId="0" xfId="0" applyNumberFormat="1" applyFont="1" applyFill="1" applyAlignment="1">
      <alignment horizontal="center" wrapText="1" readingOrder="1"/>
    </xf>
    <xf numFmtId="0" fontId="26" fillId="0" borderId="0" xfId="0" applyFont="1"/>
    <xf numFmtId="0" fontId="31" fillId="0" borderId="0" xfId="0" applyFont="1"/>
    <xf numFmtId="0" fontId="28" fillId="0" borderId="59" xfId="3" applyFont="1" applyBorder="1" applyAlignment="1">
      <alignment horizontal="left"/>
    </xf>
    <xf numFmtId="9" fontId="5" fillId="0" borderId="8" xfId="0" applyNumberFormat="1" applyFont="1" applyBorder="1" applyAlignment="1">
      <alignment horizontal="center" wrapText="1" readingOrder="1"/>
    </xf>
    <xf numFmtId="9" fontId="3" fillId="7" borderId="8" xfId="0" applyNumberFormat="1" applyFont="1" applyFill="1" applyBorder="1" applyAlignment="1">
      <alignment horizontal="center" wrapText="1" readingOrder="1"/>
    </xf>
    <xf numFmtId="9" fontId="3" fillId="7" borderId="21" xfId="0" applyNumberFormat="1" applyFont="1" applyFill="1" applyBorder="1" applyAlignment="1">
      <alignment horizontal="center" wrapText="1" readingOrder="1"/>
    </xf>
    <xf numFmtId="9" fontId="3" fillId="6" borderId="13" xfId="0" applyNumberFormat="1" applyFont="1" applyFill="1" applyBorder="1" applyAlignment="1">
      <alignment horizontal="center" wrapText="1" readingOrder="1"/>
    </xf>
    <xf numFmtId="172" fontId="39" fillId="0" borderId="0" xfId="0" applyNumberFormat="1" applyFont="1" applyAlignment="1">
      <alignment horizontal="right"/>
    </xf>
    <xf numFmtId="172" fontId="0" fillId="0" borderId="0" xfId="0" applyNumberFormat="1"/>
    <xf numFmtId="17" fontId="0" fillId="0" borderId="0" xfId="0" applyNumberFormat="1"/>
    <xf numFmtId="9" fontId="0" fillId="0" borderId="0" xfId="0" applyNumberFormat="1"/>
    <xf numFmtId="0" fontId="36" fillId="0" borderId="0" xfId="0" applyFont="1"/>
    <xf numFmtId="0" fontId="26" fillId="0" borderId="0" xfId="0" applyFont="1" applyAlignment="1">
      <alignment horizontal="center"/>
    </xf>
    <xf numFmtId="0" fontId="26" fillId="12" borderId="0" xfId="0" applyFont="1" applyFill="1"/>
    <xf numFmtId="4" fontId="0" fillId="0" borderId="0" xfId="0" applyNumberFormat="1"/>
    <xf numFmtId="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9" fontId="0" fillId="15" borderId="0" xfId="0" applyNumberFormat="1" applyFill="1" applyAlignment="1">
      <alignment horizontal="center"/>
    </xf>
    <xf numFmtId="17" fontId="26" fillId="0" borderId="0" xfId="0" applyNumberFormat="1" applyFont="1" applyAlignment="1">
      <alignment horizontal="center"/>
    </xf>
    <xf numFmtId="17" fontId="26" fillId="0" borderId="0" xfId="0" applyNumberFormat="1" applyFont="1"/>
    <xf numFmtId="17" fontId="26" fillId="0" borderId="0" xfId="0" quotePrefix="1" applyNumberFormat="1" applyFont="1" applyAlignment="1">
      <alignment horizontal="center"/>
    </xf>
    <xf numFmtId="0" fontId="26" fillId="16" borderId="0" xfId="0" applyFont="1" applyFill="1"/>
    <xf numFmtId="170" fontId="0" fillId="0" borderId="0" xfId="0" applyNumberFormat="1"/>
    <xf numFmtId="9" fontId="42" fillId="13" borderId="66" xfId="14" applyNumberFormat="1" applyFont="1" applyFill="1" applyBorder="1" applyAlignment="1" applyProtection="1">
      <alignment horizontal="right" vertical="center"/>
      <protection locked="0"/>
    </xf>
    <xf numFmtId="166" fontId="42" fillId="13" borderId="60" xfId="14" applyNumberFormat="1" applyFont="1" applyFill="1" applyBorder="1" applyAlignment="1" applyProtection="1">
      <alignment horizontal="right" vertical="center"/>
      <protection locked="0"/>
    </xf>
    <xf numFmtId="166" fontId="42" fillId="13" borderId="67" xfId="14" applyNumberFormat="1" applyFont="1" applyFill="1" applyBorder="1" applyAlignment="1" applyProtection="1">
      <alignment horizontal="right" vertical="center"/>
      <protection locked="0"/>
    </xf>
    <xf numFmtId="166" fontId="42" fillId="13" borderId="66" xfId="14" applyNumberFormat="1" applyFont="1" applyFill="1" applyBorder="1" applyAlignment="1" applyProtection="1">
      <alignment horizontal="right" vertical="center"/>
      <protection locked="0"/>
    </xf>
    <xf numFmtId="175" fontId="42" fillId="17" borderId="68" xfId="14" applyNumberFormat="1" applyFont="1" applyFill="1" applyBorder="1" applyAlignment="1" applyProtection="1">
      <alignment horizontal="center" vertical="center"/>
      <protection locked="0"/>
    </xf>
    <xf numFmtId="9" fontId="38" fillId="0" borderId="63" xfId="14" applyNumberFormat="1" applyFont="1" applyFill="1" applyBorder="1" applyAlignment="1" applyProtection="1">
      <alignment horizontal="right" vertical="center"/>
      <protection locked="0"/>
    </xf>
    <xf numFmtId="166" fontId="38" fillId="0" borderId="0" xfId="14" applyNumberFormat="1" applyFont="1" applyFill="1" applyBorder="1" applyAlignment="1" applyProtection="1">
      <alignment horizontal="right" vertical="center"/>
      <protection locked="0"/>
    </xf>
    <xf numFmtId="166" fontId="38" fillId="0" borderId="74" xfId="14" applyNumberFormat="1" applyFont="1" applyFill="1" applyBorder="1" applyAlignment="1" applyProtection="1">
      <alignment horizontal="right" vertical="center"/>
      <protection locked="0"/>
    </xf>
    <xf numFmtId="166" fontId="38" fillId="0" borderId="63" xfId="14" applyNumberFormat="1" applyFont="1" applyFill="1" applyBorder="1" applyAlignment="1" applyProtection="1">
      <alignment horizontal="right" vertical="center"/>
      <protection locked="0"/>
    </xf>
    <xf numFmtId="0" fontId="38" fillId="0" borderId="64" xfId="15" applyFont="1" applyBorder="1" applyAlignment="1">
      <alignment horizontal="left" vertical="center" indent="1"/>
    </xf>
    <xf numFmtId="9" fontId="42" fillId="0" borderId="63" xfId="14" applyNumberFormat="1" applyFont="1" applyFill="1" applyBorder="1" applyAlignment="1" applyProtection="1">
      <alignment horizontal="right" vertical="center"/>
      <protection locked="0"/>
    </xf>
    <xf numFmtId="166" fontId="42" fillId="0" borderId="0" xfId="14" applyNumberFormat="1" applyFont="1" applyFill="1" applyBorder="1" applyAlignment="1" applyProtection="1">
      <alignment horizontal="right" vertical="center"/>
      <protection locked="0"/>
    </xf>
    <xf numFmtId="166" fontId="42" fillId="0" borderId="74" xfId="14" applyNumberFormat="1" applyFont="1" applyFill="1" applyBorder="1" applyAlignment="1" applyProtection="1">
      <alignment horizontal="right" vertical="center"/>
      <protection locked="0"/>
    </xf>
    <xf numFmtId="166" fontId="42" fillId="0" borderId="63" xfId="14" applyNumberFormat="1" applyFont="1" applyFill="1" applyBorder="1" applyAlignment="1" applyProtection="1">
      <alignment horizontal="right" vertical="center"/>
      <protection locked="0"/>
    </xf>
    <xf numFmtId="0" fontId="42" fillId="0" borderId="64" xfId="15" applyFont="1" applyBorder="1" applyAlignment="1">
      <alignment horizontal="left" vertical="center"/>
    </xf>
    <xf numFmtId="4" fontId="38" fillId="0" borderId="74" xfId="14" applyNumberFormat="1" applyFont="1" applyFill="1" applyBorder="1" applyAlignment="1" applyProtection="1">
      <alignment horizontal="right" vertical="center"/>
      <protection locked="0"/>
    </xf>
    <xf numFmtId="166" fontId="38" fillId="0" borderId="0" xfId="13" applyNumberFormat="1" applyFont="1" applyFill="1" applyBorder="1" applyAlignment="1" applyProtection="1">
      <alignment horizontal="right" vertical="center"/>
      <protection locked="0"/>
    </xf>
    <xf numFmtId="9" fontId="42" fillId="0" borderId="69" xfId="14" applyNumberFormat="1" applyFont="1" applyFill="1" applyBorder="1" applyAlignment="1" applyProtection="1">
      <alignment horizontal="right" vertical="center"/>
      <protection locked="0"/>
    </xf>
    <xf numFmtId="170" fontId="42" fillId="0" borderId="70" xfId="14" applyNumberFormat="1" applyFont="1" applyFill="1" applyBorder="1" applyAlignment="1" applyProtection="1">
      <alignment horizontal="right" vertical="center"/>
      <protection locked="0"/>
    </xf>
    <xf numFmtId="166" fontId="42" fillId="0" borderId="71" xfId="14" applyNumberFormat="1" applyFont="1" applyFill="1" applyBorder="1" applyAlignment="1" applyProtection="1">
      <alignment horizontal="right" vertical="center"/>
      <protection locked="0"/>
    </xf>
    <xf numFmtId="166" fontId="42" fillId="0" borderId="70" xfId="14" applyNumberFormat="1" applyFont="1" applyFill="1" applyBorder="1" applyAlignment="1" applyProtection="1">
      <alignment horizontal="right" vertical="center"/>
      <protection locked="0"/>
    </xf>
    <xf numFmtId="166" fontId="42" fillId="0" borderId="69" xfId="14" applyNumberFormat="1" applyFont="1" applyFill="1" applyBorder="1" applyAlignment="1" applyProtection="1">
      <alignment horizontal="right" vertical="center"/>
      <protection locked="0"/>
    </xf>
    <xf numFmtId="0" fontId="42" fillId="0" borderId="72" xfId="15" applyFont="1" applyBorder="1" applyAlignment="1">
      <alignment vertical="center"/>
    </xf>
    <xf numFmtId="175" fontId="42" fillId="17" borderId="77" xfId="14" applyNumberFormat="1" applyFont="1" applyFill="1" applyBorder="1" applyAlignment="1" applyProtection="1">
      <alignment horizontal="center" vertical="center"/>
      <protection locked="0"/>
    </xf>
    <xf numFmtId="175" fontId="42" fillId="17" borderId="75" xfId="14" applyNumberFormat="1" applyFont="1" applyFill="1" applyBorder="1" applyAlignment="1" applyProtection="1">
      <alignment horizontal="center" vertical="center"/>
      <protection locked="0"/>
    </xf>
    <xf numFmtId="175" fontId="42" fillId="17" borderId="76" xfId="14" applyNumberFormat="1" applyFont="1" applyFill="1" applyBorder="1" applyAlignment="1" applyProtection="1">
      <alignment horizontal="center" vertical="center"/>
      <protection locked="0"/>
    </xf>
    <xf numFmtId="175" fontId="42" fillId="17" borderId="69" xfId="14" applyNumberFormat="1" applyFont="1" applyFill="1" applyBorder="1" applyAlignment="1" applyProtection="1">
      <alignment horizontal="center" vertical="center"/>
      <protection locked="0"/>
    </xf>
    <xf numFmtId="175" fontId="42" fillId="17" borderId="70" xfId="14" applyNumberFormat="1" applyFont="1" applyFill="1" applyBorder="1" applyAlignment="1" applyProtection="1">
      <alignment horizontal="center" vertical="center"/>
      <protection locked="0"/>
    </xf>
    <xf numFmtId="175" fontId="42" fillId="17" borderId="71" xfId="14" applyNumberFormat="1" applyFont="1" applyFill="1" applyBorder="1" applyAlignment="1" applyProtection="1">
      <alignment horizontal="center" vertical="center"/>
      <protection locked="0"/>
    </xf>
    <xf numFmtId="0" fontId="38" fillId="0" borderId="74" xfId="15" applyFont="1" applyBorder="1" applyAlignment="1">
      <alignment horizontal="left" vertical="center"/>
    </xf>
    <xf numFmtId="169" fontId="44" fillId="18" borderId="75" xfId="16" applyNumberFormat="1" applyFont="1" applyFill="1" applyBorder="1" applyAlignment="1">
      <alignment horizontal="center" vertical="center"/>
    </xf>
    <xf numFmtId="169" fontId="44" fillId="18" borderId="76" xfId="16" applyNumberFormat="1" applyFont="1" applyFill="1" applyBorder="1" applyAlignment="1">
      <alignment horizontal="center" vertical="center"/>
    </xf>
    <xf numFmtId="0" fontId="45" fillId="0" borderId="71" xfId="15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pivotButton="1"/>
    <xf numFmtId="0" fontId="48" fillId="0" borderId="0" xfId="0" applyFont="1"/>
    <xf numFmtId="0" fontId="48" fillId="0" borderId="0" xfId="0" applyFont="1" applyAlignment="1">
      <alignment horizontal="center"/>
    </xf>
    <xf numFmtId="43" fontId="51" fillId="0" borderId="0" xfId="13" applyFont="1"/>
    <xf numFmtId="0" fontId="49" fillId="0" borderId="0" xfId="0" applyFont="1"/>
    <xf numFmtId="173" fontId="48" fillId="0" borderId="0" xfId="0" applyNumberFormat="1" applyFont="1"/>
    <xf numFmtId="172" fontId="48" fillId="0" borderId="0" xfId="0" applyNumberFormat="1" applyFont="1"/>
    <xf numFmtId="0" fontId="48" fillId="12" borderId="0" xfId="0" applyFont="1" applyFill="1"/>
    <xf numFmtId="169" fontId="44" fillId="14" borderId="77" xfId="16" quotePrefix="1" applyNumberFormat="1" applyFont="1" applyFill="1" applyBorder="1" applyAlignment="1">
      <alignment horizontal="center" vertical="center"/>
    </xf>
    <xf numFmtId="169" fontId="44" fillId="14" borderId="77" xfId="16" applyNumberFormat="1" applyFont="1" applyFill="1" applyBorder="1" applyAlignment="1">
      <alignment horizontal="center" vertical="center"/>
    </xf>
    <xf numFmtId="169" fontId="44" fillId="14" borderId="69" xfId="16" applyNumberFormat="1" applyFont="1" applyFill="1" applyBorder="1" applyAlignment="1">
      <alignment horizontal="center" vertical="center"/>
    </xf>
    <xf numFmtId="0" fontId="48" fillId="0" borderId="70" xfId="0" applyFont="1" applyBorder="1"/>
    <xf numFmtId="0" fontId="48" fillId="0" borderId="70" xfId="0" applyFont="1" applyBorder="1" applyAlignment="1">
      <alignment horizontal="center"/>
    </xf>
    <xf numFmtId="166" fontId="48" fillId="0" borderId="0" xfId="0" applyNumberFormat="1" applyFont="1"/>
    <xf numFmtId="166" fontId="42" fillId="13" borderId="66" xfId="14" applyNumberFormat="1" applyFont="1" applyFill="1" applyBorder="1" applyAlignment="1" applyProtection="1">
      <alignment horizontal="center" vertical="center"/>
      <protection locked="0"/>
    </xf>
    <xf numFmtId="166" fontId="42" fillId="13" borderId="60" xfId="14" applyNumberFormat="1" applyFont="1" applyFill="1" applyBorder="1" applyAlignment="1" applyProtection="1">
      <alignment horizontal="center" vertical="center"/>
      <protection locked="0"/>
    </xf>
    <xf numFmtId="166" fontId="38" fillId="0" borderId="63" xfId="14" applyNumberFormat="1" applyFont="1" applyFill="1" applyBorder="1" applyAlignment="1" applyProtection="1">
      <alignment horizontal="center" vertical="center"/>
      <protection locked="0"/>
    </xf>
    <xf numFmtId="166" fontId="38" fillId="0" borderId="0" xfId="14" applyNumberFormat="1" applyFont="1" applyFill="1" applyBorder="1" applyAlignment="1" applyProtection="1">
      <alignment horizontal="center" vertical="center"/>
      <protection locked="0"/>
    </xf>
    <xf numFmtId="166" fontId="42" fillId="0" borderId="63" xfId="14" applyNumberFormat="1" applyFont="1" applyFill="1" applyBorder="1" applyAlignment="1" applyProtection="1">
      <alignment horizontal="center" vertical="center"/>
      <protection locked="0"/>
    </xf>
    <xf numFmtId="166" fontId="42" fillId="0" borderId="0" xfId="14" applyNumberFormat="1" applyFont="1" applyFill="1" applyBorder="1" applyAlignment="1" applyProtection="1">
      <alignment horizontal="center" vertical="center"/>
      <protection locked="0"/>
    </xf>
    <xf numFmtId="166" fontId="38" fillId="0" borderId="0" xfId="13" applyNumberFormat="1" applyFont="1" applyFill="1" applyBorder="1" applyAlignment="1" applyProtection="1">
      <alignment horizontal="center" vertical="center"/>
      <protection locked="0"/>
    </xf>
    <xf numFmtId="166" fontId="42" fillId="0" borderId="69" xfId="14" applyNumberFormat="1" applyFont="1" applyFill="1" applyBorder="1" applyAlignment="1" applyProtection="1">
      <alignment horizontal="center" vertical="center"/>
      <protection locked="0"/>
    </xf>
    <xf numFmtId="166" fontId="42" fillId="0" borderId="70" xfId="14" applyNumberFormat="1" applyFont="1" applyFill="1" applyBorder="1" applyAlignment="1" applyProtection="1">
      <alignment horizontal="center" vertical="center"/>
      <protection locked="0"/>
    </xf>
    <xf numFmtId="0" fontId="55" fillId="5" borderId="80" xfId="0" applyFont="1" applyFill="1" applyBorder="1" applyAlignment="1">
      <alignment horizontal="center" vertical="center" wrapText="1" readingOrder="1"/>
    </xf>
    <xf numFmtId="0" fontId="42" fillId="0" borderId="71" xfId="15" applyFont="1" applyBorder="1" applyAlignment="1">
      <alignment horizontal="left" vertical="center"/>
    </xf>
    <xf numFmtId="43" fontId="58" fillId="13" borderId="0" xfId="0" applyNumberFormat="1" applyFont="1" applyFill="1"/>
    <xf numFmtId="0" fontId="59" fillId="0" borderId="0" xfId="0" applyFont="1"/>
    <xf numFmtId="0" fontId="54" fillId="0" borderId="0" xfId="0" applyFont="1" applyAlignment="1">
      <alignment horizontal="left" vertical="center" wrapText="1" readingOrder="1"/>
    </xf>
    <xf numFmtId="43" fontId="58" fillId="0" borderId="0" xfId="0" applyNumberFormat="1" applyFont="1"/>
    <xf numFmtId="166" fontId="54" fillId="0" borderId="81" xfId="0" applyNumberFormat="1" applyFont="1" applyBorder="1" applyAlignment="1">
      <alignment horizontal="center" vertical="center" wrapText="1" readingOrder="1"/>
    </xf>
    <xf numFmtId="166" fontId="54" fillId="0" borderId="62" xfId="0" applyNumberFormat="1" applyFont="1" applyBorder="1" applyAlignment="1">
      <alignment horizontal="center" vertical="center" wrapText="1" readingOrder="1"/>
    </xf>
    <xf numFmtId="166" fontId="54" fillId="13" borderId="82" xfId="0" applyNumberFormat="1" applyFont="1" applyFill="1" applyBorder="1" applyAlignment="1">
      <alignment horizontal="center" vertical="center" wrapText="1" readingOrder="1"/>
    </xf>
    <xf numFmtId="0" fontId="54" fillId="0" borderId="84" xfId="0" applyFont="1" applyBorder="1" applyAlignment="1">
      <alignment horizontal="left" vertical="center" wrapText="1" readingOrder="1"/>
    </xf>
    <xf numFmtId="177" fontId="54" fillId="0" borderId="81" xfId="0" applyNumberFormat="1" applyFont="1" applyBorder="1" applyAlignment="1">
      <alignment horizontal="center" vertical="center" wrapText="1" readingOrder="1"/>
    </xf>
    <xf numFmtId="177" fontId="54" fillId="0" borderId="62" xfId="0" applyNumberFormat="1" applyFont="1" applyBorder="1" applyAlignment="1">
      <alignment horizontal="center" vertical="center" wrapText="1" readingOrder="1"/>
    </xf>
    <xf numFmtId="177" fontId="54" fillId="0" borderId="85" xfId="0" applyNumberFormat="1" applyFont="1" applyBorder="1" applyAlignment="1">
      <alignment horizontal="center" vertical="center" wrapText="1" readingOrder="1"/>
    </xf>
    <xf numFmtId="0" fontId="54" fillId="0" borderId="62" xfId="0" applyFont="1" applyBorder="1" applyAlignment="1">
      <alignment horizontal="left" vertical="center" wrapText="1" readingOrder="1"/>
    </xf>
    <xf numFmtId="166" fontId="54" fillId="0" borderId="86" xfId="0" applyNumberFormat="1" applyFont="1" applyBorder="1" applyAlignment="1">
      <alignment horizontal="center" vertical="center" wrapText="1" readingOrder="1"/>
    </xf>
    <xf numFmtId="166" fontId="54" fillId="0" borderId="0" xfId="0" applyNumberFormat="1" applyFont="1" applyAlignment="1">
      <alignment horizontal="center" vertical="center" wrapText="1" readingOrder="1"/>
    </xf>
    <xf numFmtId="166" fontId="54" fillId="13" borderId="87" xfId="0" applyNumberFormat="1" applyFont="1" applyFill="1" applyBorder="1" applyAlignment="1">
      <alignment horizontal="center" vertical="center" wrapText="1" readingOrder="1"/>
    </xf>
    <xf numFmtId="0" fontId="54" fillId="0" borderId="63" xfId="0" applyFont="1" applyBorder="1" applyAlignment="1">
      <alignment horizontal="left" vertical="center" wrapText="1" readingOrder="1"/>
    </xf>
    <xf numFmtId="0" fontId="38" fillId="0" borderId="0" xfId="0" applyFont="1" applyAlignment="1">
      <alignment vertical="center" wrapText="1"/>
    </xf>
    <xf numFmtId="0" fontId="54" fillId="0" borderId="88" xfId="0" applyFont="1" applyBorder="1" applyAlignment="1">
      <alignment horizontal="left" vertical="center" wrapText="1" readingOrder="1"/>
    </xf>
    <xf numFmtId="177" fontId="54" fillId="0" borderId="86" xfId="0" applyNumberFormat="1" applyFont="1" applyBorder="1" applyAlignment="1">
      <alignment horizontal="center" vertical="center" wrapText="1" readingOrder="1"/>
    </xf>
    <xf numFmtId="177" fontId="54" fillId="0" borderId="0" xfId="0" applyNumberFormat="1" applyFont="1" applyAlignment="1">
      <alignment horizontal="center" vertical="center" wrapText="1" readingOrder="1"/>
    </xf>
    <xf numFmtId="177" fontId="54" fillId="0" borderId="74" xfId="0" applyNumberFormat="1" applyFont="1" applyBorder="1" applyAlignment="1">
      <alignment horizontal="center" vertical="center" wrapText="1" readingOrder="1"/>
    </xf>
    <xf numFmtId="0" fontId="55" fillId="0" borderId="88" xfId="0" applyFont="1" applyBorder="1" applyAlignment="1">
      <alignment horizontal="left" vertical="center" wrapText="1" readingOrder="1"/>
    </xf>
    <xf numFmtId="166" fontId="55" fillId="0" borderId="86" xfId="0" applyNumberFormat="1" applyFont="1" applyBorder="1" applyAlignment="1">
      <alignment horizontal="center" vertical="center" wrapText="1" readingOrder="1"/>
    </xf>
    <xf numFmtId="166" fontId="55" fillId="0" borderId="0" xfId="0" applyNumberFormat="1" applyFont="1" applyAlignment="1">
      <alignment horizontal="center" vertical="center" wrapText="1" readingOrder="1"/>
    </xf>
    <xf numFmtId="166" fontId="55" fillId="13" borderId="87" xfId="0" applyNumberFormat="1" applyFont="1" applyFill="1" applyBorder="1" applyAlignment="1">
      <alignment horizontal="center" vertical="center" wrapText="1" readingOrder="1"/>
    </xf>
    <xf numFmtId="0" fontId="55" fillId="0" borderId="0" xfId="0" applyFont="1" applyAlignment="1">
      <alignment horizontal="left" vertical="center" wrapText="1" readingOrder="1"/>
    </xf>
    <xf numFmtId="0" fontId="54" fillId="0" borderId="0" xfId="0" applyFont="1" applyAlignment="1">
      <alignment vertical="center" wrapText="1" readingOrder="1"/>
    </xf>
    <xf numFmtId="177" fontId="55" fillId="0" borderId="86" xfId="0" applyNumberFormat="1" applyFont="1" applyBorder="1" applyAlignment="1">
      <alignment horizontal="center" vertical="center" wrapText="1" readingOrder="1"/>
    </xf>
    <xf numFmtId="177" fontId="55" fillId="0" borderId="0" xfId="0" applyNumberFormat="1" applyFont="1" applyAlignment="1">
      <alignment horizontal="center" vertical="center" wrapText="1" readingOrder="1"/>
    </xf>
    <xf numFmtId="177" fontId="55" fillId="0" borderId="74" xfId="0" applyNumberFormat="1" applyFont="1" applyBorder="1" applyAlignment="1">
      <alignment horizontal="center" vertical="center" wrapText="1" readingOrder="1"/>
    </xf>
    <xf numFmtId="0" fontId="54" fillId="0" borderId="63" xfId="0" applyFont="1" applyBorder="1" applyAlignment="1">
      <alignment horizontal="left" wrapText="1" readingOrder="1"/>
    </xf>
    <xf numFmtId="0" fontId="55" fillId="0" borderId="89" xfId="0" applyFont="1" applyBorder="1" applyAlignment="1">
      <alignment horizontal="center" vertical="center" wrapText="1" readingOrder="1"/>
    </xf>
    <xf numFmtId="0" fontId="55" fillId="0" borderId="75" xfId="0" applyFont="1" applyBorder="1" applyAlignment="1">
      <alignment horizontal="center" vertical="center" wrapText="1" readingOrder="1"/>
    </xf>
    <xf numFmtId="0" fontId="55" fillId="13" borderId="90" xfId="0" applyFont="1" applyFill="1" applyBorder="1" applyAlignment="1">
      <alignment horizontal="center" vertical="center" wrapText="1" readingOrder="1"/>
    </xf>
    <xf numFmtId="17" fontId="55" fillId="0" borderId="75" xfId="0" quotePrefix="1" applyNumberFormat="1" applyFont="1" applyBorder="1" applyAlignment="1">
      <alignment horizontal="center" vertical="center" wrapText="1" readingOrder="1"/>
    </xf>
    <xf numFmtId="0" fontId="60" fillId="0" borderId="77" xfId="0" applyFont="1" applyBorder="1" applyAlignment="1">
      <alignment horizontal="left" vertical="center" wrapText="1" readingOrder="1"/>
    </xf>
    <xf numFmtId="0" fontId="60" fillId="0" borderId="75" xfId="0" applyFont="1" applyBorder="1" applyAlignment="1">
      <alignment horizontal="left" vertical="center" wrapText="1" readingOrder="1"/>
    </xf>
    <xf numFmtId="0" fontId="54" fillId="0" borderId="79" xfId="0" applyFont="1" applyBorder="1" applyAlignment="1">
      <alignment horizontal="left" vertical="center" wrapText="1" readingOrder="1"/>
    </xf>
    <xf numFmtId="0" fontId="55" fillId="0" borderId="76" xfId="0" applyFont="1" applyBorder="1" applyAlignment="1">
      <alignment horizontal="center" vertical="center" wrapText="1" readingOrder="1"/>
    </xf>
    <xf numFmtId="0" fontId="48" fillId="13" borderId="0" xfId="0" applyFont="1" applyFill="1"/>
    <xf numFmtId="0" fontId="49" fillId="13" borderId="0" xfId="0" applyFont="1" applyFill="1"/>
    <xf numFmtId="0" fontId="44" fillId="0" borderId="0" xfId="0" applyFont="1"/>
    <xf numFmtId="0" fontId="48" fillId="20" borderId="0" xfId="0" applyFont="1" applyFill="1"/>
    <xf numFmtId="0" fontId="44" fillId="20" borderId="0" xfId="0" applyFont="1" applyFill="1"/>
    <xf numFmtId="170" fontId="54" fillId="3" borderId="65" xfId="0" applyNumberFormat="1" applyFont="1" applyFill="1" applyBorder="1" applyAlignment="1">
      <alignment horizontal="center" vertical="center" wrapText="1" readingOrder="1"/>
    </xf>
    <xf numFmtId="170" fontId="54" fillId="3" borderId="73" xfId="0" applyNumberFormat="1" applyFont="1" applyFill="1" applyBorder="1" applyAlignment="1">
      <alignment horizontal="center" vertical="center" wrapText="1" readingOrder="1"/>
    </xf>
    <xf numFmtId="170" fontId="54" fillId="3" borderId="96" xfId="0" applyNumberFormat="1" applyFont="1" applyFill="1" applyBorder="1" applyAlignment="1">
      <alignment horizontal="center" vertical="center" wrapText="1" readingOrder="1"/>
    </xf>
    <xf numFmtId="0" fontId="54" fillId="3" borderId="59" xfId="0" applyFont="1" applyFill="1" applyBorder="1" applyAlignment="1">
      <alignment horizontal="left" wrapText="1" indent="1" readingOrder="1"/>
    </xf>
    <xf numFmtId="0" fontId="56" fillId="2" borderId="98" xfId="0" applyFont="1" applyFill="1" applyBorder="1" applyAlignment="1">
      <alignment horizontal="center" vertical="center" wrapText="1" readingOrder="1"/>
    </xf>
    <xf numFmtId="0" fontId="56" fillId="2" borderId="99" xfId="0" applyFont="1" applyFill="1" applyBorder="1" applyAlignment="1">
      <alignment horizontal="center" vertical="center" wrapText="1" readingOrder="1"/>
    </xf>
    <xf numFmtId="0" fontId="56" fillId="2" borderId="62" xfId="0" applyFont="1" applyFill="1" applyBorder="1" applyAlignment="1">
      <alignment vertical="center" wrapText="1" readingOrder="1"/>
    </xf>
    <xf numFmtId="0" fontId="56" fillId="2" borderId="84" xfId="0" applyFont="1" applyFill="1" applyBorder="1" applyAlignment="1">
      <alignment vertical="center" wrapText="1" readingOrder="1"/>
    </xf>
    <xf numFmtId="0" fontId="62" fillId="0" borderId="59" xfId="0" applyFont="1" applyBorder="1" applyAlignment="1">
      <alignment horizontal="center" vertical="center" wrapText="1" readingOrder="1"/>
    </xf>
    <xf numFmtId="4" fontId="41" fillId="0" borderId="0" xfId="0" applyNumberFormat="1" applyFont="1"/>
    <xf numFmtId="4" fontId="41" fillId="0" borderId="0" xfId="0" applyNumberFormat="1" applyFont="1" applyAlignment="1">
      <alignment horizontal="center"/>
    </xf>
    <xf numFmtId="0" fontId="41" fillId="0" borderId="0" xfId="0" applyFont="1"/>
    <xf numFmtId="170" fontId="54" fillId="0" borderId="81" xfId="0" applyNumberFormat="1" applyFont="1" applyBorder="1" applyAlignment="1">
      <alignment horizontal="center" vertical="center" wrapText="1" readingOrder="1"/>
    </xf>
    <xf numFmtId="170" fontId="54" fillId="0" borderId="101" xfId="0" applyNumberFormat="1" applyFont="1" applyBorder="1" applyAlignment="1">
      <alignment horizontal="center" vertical="center" wrapText="1" readingOrder="1"/>
    </xf>
    <xf numFmtId="170" fontId="54" fillId="0" borderId="62" xfId="0" applyNumberFormat="1" applyFont="1" applyBorder="1" applyAlignment="1">
      <alignment horizontal="center" vertical="center" wrapText="1" readingOrder="1"/>
    </xf>
    <xf numFmtId="170" fontId="54" fillId="0" borderId="84" xfId="0" applyNumberFormat="1" applyFont="1" applyBorder="1" applyAlignment="1">
      <alignment horizontal="center" vertical="center" wrapText="1" readingOrder="1"/>
    </xf>
    <xf numFmtId="0" fontId="54" fillId="0" borderId="101" xfId="0" applyFont="1" applyBorder="1" applyAlignment="1">
      <alignment horizontal="left" wrapText="1" indent="1" readingOrder="1"/>
    </xf>
    <xf numFmtId="0" fontId="63" fillId="0" borderId="0" xfId="0" applyFont="1"/>
    <xf numFmtId="170" fontId="54" fillId="3" borderId="86" xfId="0" applyNumberFormat="1" applyFont="1" applyFill="1" applyBorder="1" applyAlignment="1">
      <alignment horizontal="center" vertical="center" wrapText="1" readingOrder="1"/>
    </xf>
    <xf numFmtId="170" fontId="54" fillId="3" borderId="102" xfId="0" applyNumberFormat="1" applyFont="1" applyFill="1" applyBorder="1" applyAlignment="1">
      <alignment horizontal="center" vertical="center" wrapText="1" readingOrder="1"/>
    </xf>
    <xf numFmtId="170" fontId="54" fillId="3" borderId="0" xfId="0" applyNumberFormat="1" applyFont="1" applyFill="1" applyAlignment="1">
      <alignment horizontal="center" vertical="center" wrapText="1" readingOrder="1"/>
    </xf>
    <xf numFmtId="170" fontId="54" fillId="3" borderId="88" xfId="0" applyNumberFormat="1" applyFont="1" applyFill="1" applyBorder="1" applyAlignment="1">
      <alignment horizontal="center" vertical="center" wrapText="1" readingOrder="1"/>
    </xf>
    <xf numFmtId="0" fontId="54" fillId="3" borderId="102" xfId="0" applyFont="1" applyFill="1" applyBorder="1" applyAlignment="1">
      <alignment horizontal="left" wrapText="1" indent="1" readingOrder="1"/>
    </xf>
    <xf numFmtId="170" fontId="54" fillId="0" borderId="86" xfId="0" applyNumberFormat="1" applyFont="1" applyBorder="1" applyAlignment="1">
      <alignment horizontal="center" vertical="center" wrapText="1" readingOrder="1"/>
    </xf>
    <xf numFmtId="170" fontId="54" fillId="0" borderId="102" xfId="0" applyNumberFormat="1" applyFont="1" applyBorder="1" applyAlignment="1">
      <alignment horizontal="center" vertical="center" wrapText="1" readingOrder="1"/>
    </xf>
    <xf numFmtId="170" fontId="54" fillId="0" borderId="0" xfId="0" applyNumberFormat="1" applyFont="1" applyAlignment="1">
      <alignment horizontal="center" vertical="center" wrapText="1" readingOrder="1"/>
    </xf>
    <xf numFmtId="170" fontId="54" fillId="0" borderId="88" xfId="0" applyNumberFormat="1" applyFont="1" applyBorder="1" applyAlignment="1">
      <alignment horizontal="center" vertical="center" wrapText="1" readingOrder="1"/>
    </xf>
    <xf numFmtId="0" fontId="54" fillId="0" borderId="102" xfId="0" applyFont="1" applyBorder="1" applyAlignment="1">
      <alignment horizontal="left" wrapText="1" indent="1" readingOrder="1"/>
    </xf>
    <xf numFmtId="170" fontId="55" fillId="9" borderId="91" xfId="0" applyNumberFormat="1" applyFont="1" applyFill="1" applyBorder="1" applyAlignment="1">
      <alignment horizontal="center" vertical="center" wrapText="1" readingOrder="1"/>
    </xf>
    <xf numFmtId="170" fontId="55" fillId="9" borderId="100" xfId="0" applyNumberFormat="1" applyFont="1" applyFill="1" applyBorder="1" applyAlignment="1">
      <alignment horizontal="center" vertical="center" wrapText="1" readingOrder="1"/>
    </xf>
    <xf numFmtId="170" fontId="55" fillId="9" borderId="92" xfId="0" applyNumberFormat="1" applyFont="1" applyFill="1" applyBorder="1" applyAlignment="1">
      <alignment horizontal="center" vertical="center" wrapText="1" readingOrder="1"/>
    </xf>
    <xf numFmtId="170" fontId="55" fillId="9" borderId="103" xfId="0" applyNumberFormat="1" applyFont="1" applyFill="1" applyBorder="1" applyAlignment="1">
      <alignment horizontal="center" vertical="center" wrapText="1" readingOrder="1"/>
    </xf>
    <xf numFmtId="0" fontId="55" fillId="9" borderId="102" xfId="0" applyFont="1" applyFill="1" applyBorder="1" applyAlignment="1">
      <alignment horizontal="left" wrapText="1" readingOrder="1"/>
    </xf>
    <xf numFmtId="0" fontId="27" fillId="0" borderId="0" xfId="0" applyFont="1"/>
    <xf numFmtId="0" fontId="64" fillId="0" borderId="0" xfId="0" applyFont="1"/>
    <xf numFmtId="43" fontId="0" fillId="0" borderId="0" xfId="0" applyNumberFormat="1"/>
    <xf numFmtId="0" fontId="64" fillId="4" borderId="0" xfId="0" applyFont="1" applyFill="1" applyAlignment="1">
      <alignment horizontal="left"/>
    </xf>
    <xf numFmtId="0" fontId="64" fillId="4" borderId="0" xfId="0" applyFont="1" applyFill="1"/>
    <xf numFmtId="0" fontId="0" fillId="21" borderId="0" xfId="0" applyFill="1"/>
    <xf numFmtId="0" fontId="0" fillId="12" borderId="0" xfId="0" applyFill="1"/>
    <xf numFmtId="14" fontId="0" fillId="0" borderId="0" xfId="0" applyNumberFormat="1"/>
    <xf numFmtId="178" fontId="26" fillId="0" borderId="0" xfId="0" applyNumberFormat="1" applyFont="1" applyAlignment="1">
      <alignment horizontal="right"/>
    </xf>
    <xf numFmtId="0" fontId="65" fillId="0" borderId="0" xfId="0" applyFont="1"/>
    <xf numFmtId="166" fontId="66" fillId="0" borderId="60" xfId="21" applyNumberFormat="1" applyFont="1" applyBorder="1" applyAlignment="1">
      <alignment horizontal="center" vertical="center" wrapText="1" readingOrder="1"/>
    </xf>
    <xf numFmtId="0" fontId="66" fillId="0" borderId="106" xfId="0" applyFont="1" applyBorder="1" applyAlignment="1">
      <alignment horizontal="left" vertical="center" wrapText="1" readingOrder="1"/>
    </xf>
    <xf numFmtId="166" fontId="67" fillId="3" borderId="0" xfId="21" applyNumberFormat="1" applyFont="1" applyFill="1" applyBorder="1" applyAlignment="1">
      <alignment horizontal="center" vertical="center" readingOrder="1"/>
    </xf>
    <xf numFmtId="0" fontId="67" fillId="3" borderId="107" xfId="0" applyFont="1" applyFill="1" applyBorder="1" applyAlignment="1">
      <alignment horizontal="left" vertical="center" readingOrder="1"/>
    </xf>
    <xf numFmtId="166" fontId="66" fillId="11" borderId="4" xfId="21" applyNumberFormat="1" applyFont="1" applyFill="1" applyBorder="1" applyAlignment="1">
      <alignment horizontal="center" vertical="center" wrapText="1" readingOrder="1"/>
    </xf>
    <xf numFmtId="0" fontId="66" fillId="11" borderId="108" xfId="0" applyFont="1" applyFill="1" applyBorder="1" applyAlignment="1">
      <alignment horizontal="left" vertical="center" wrapText="1" readingOrder="1"/>
    </xf>
    <xf numFmtId="166" fontId="66" fillId="11" borderId="0" xfId="21" applyNumberFormat="1" applyFont="1" applyFill="1" applyBorder="1" applyAlignment="1">
      <alignment horizontal="center" vertical="center" wrapText="1" readingOrder="1"/>
    </xf>
    <xf numFmtId="0" fontId="66" fillId="11" borderId="107" xfId="0" applyFont="1" applyFill="1" applyBorder="1" applyAlignment="1">
      <alignment horizontal="left" vertical="center" wrapText="1" readingOrder="1"/>
    </xf>
    <xf numFmtId="166" fontId="67" fillId="3" borderId="70" xfId="21" applyNumberFormat="1" applyFont="1" applyFill="1" applyBorder="1" applyAlignment="1">
      <alignment horizontal="center" vertical="center" readingOrder="1"/>
    </xf>
    <xf numFmtId="0" fontId="67" fillId="3" borderId="110" xfId="0" applyFont="1" applyFill="1" applyBorder="1" applyAlignment="1">
      <alignment horizontal="left" vertical="center" readingOrder="1"/>
    </xf>
    <xf numFmtId="0" fontId="70" fillId="0" borderId="111" xfId="0" applyFont="1" applyBorder="1" applyAlignment="1">
      <alignment horizontal="left" vertical="center" wrapText="1" readingOrder="1"/>
    </xf>
    <xf numFmtId="43" fontId="0" fillId="0" borderId="0" xfId="13" applyFont="1" applyAlignment="1">
      <alignment horizontal="left"/>
    </xf>
    <xf numFmtId="166" fontId="66" fillId="0" borderId="0" xfId="21" applyNumberFormat="1" applyFont="1" applyBorder="1" applyAlignment="1">
      <alignment horizontal="center" vertical="center" wrapText="1" readingOrder="1"/>
    </xf>
    <xf numFmtId="4" fontId="16" fillId="6" borderId="77" xfId="0" applyNumberFormat="1" applyFont="1" applyFill="1" applyBorder="1" applyAlignment="1">
      <alignment horizontal="center" vertical="center" wrapText="1" readingOrder="1"/>
    </xf>
    <xf numFmtId="4" fontId="16" fillId="6" borderId="75" xfId="0" applyNumberFormat="1" applyFont="1" applyFill="1" applyBorder="1" applyAlignment="1">
      <alignment horizontal="center" vertical="center" wrapText="1" readingOrder="1"/>
    </xf>
    <xf numFmtId="4" fontId="16" fillId="6" borderId="112" xfId="0" applyNumberFormat="1" applyFont="1" applyFill="1" applyBorder="1" applyAlignment="1">
      <alignment horizontal="center" vertical="center" wrapText="1" readingOrder="1"/>
    </xf>
    <xf numFmtId="4" fontId="16" fillId="6" borderId="113" xfId="0" applyNumberFormat="1" applyFont="1" applyFill="1" applyBorder="1" applyAlignment="1">
      <alignment horizontal="center" vertical="center" wrapText="1" readingOrder="1"/>
    </xf>
    <xf numFmtId="0" fontId="16" fillId="6" borderId="111" xfId="0" applyFont="1" applyFill="1" applyBorder="1" applyAlignment="1">
      <alignment horizontal="left" vertical="center" wrapText="1" indent="1" readingOrder="1"/>
    </xf>
    <xf numFmtId="0" fontId="2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right" vertical="center" wrapText="1" indent="1"/>
    </xf>
    <xf numFmtId="172" fontId="16" fillId="6" borderId="52" xfId="0" applyNumberFormat="1" applyFont="1" applyFill="1" applyBorder="1" applyAlignment="1">
      <alignment horizontal="left" vertical="center" wrapText="1" readingOrder="1"/>
    </xf>
    <xf numFmtId="172" fontId="16" fillId="6" borderId="51" xfId="0" applyNumberFormat="1" applyFont="1" applyFill="1" applyBorder="1" applyAlignment="1">
      <alignment horizontal="left" vertical="center" wrapText="1" readingOrder="1"/>
    </xf>
    <xf numFmtId="172" fontId="16" fillId="6" borderId="50" xfId="0" applyNumberFormat="1" applyFont="1" applyFill="1" applyBorder="1" applyAlignment="1">
      <alignment horizontal="left" vertical="center" wrapText="1" readingOrder="1"/>
    </xf>
    <xf numFmtId="172" fontId="16" fillId="6" borderId="49" xfId="0" applyNumberFormat="1" applyFont="1" applyFill="1" applyBorder="1" applyAlignment="1">
      <alignment horizontal="left" vertical="center" wrapText="1" readingOrder="1"/>
    </xf>
    <xf numFmtId="0" fontId="16" fillId="6" borderId="48" xfId="0" applyFont="1" applyFill="1" applyBorder="1" applyAlignment="1">
      <alignment horizontal="left" vertical="center" wrapText="1" indent="1" readingOrder="1"/>
    </xf>
    <xf numFmtId="172" fontId="6" fillId="7" borderId="10" xfId="0" applyNumberFormat="1" applyFont="1" applyFill="1" applyBorder="1" applyAlignment="1">
      <alignment horizontal="left" vertical="center" wrapText="1" readingOrder="1"/>
    </xf>
    <xf numFmtId="172" fontId="6" fillId="0" borderId="0" xfId="0" applyNumberFormat="1" applyFont="1" applyAlignment="1">
      <alignment horizontal="left" vertical="center" wrapText="1" readingOrder="1"/>
    </xf>
    <xf numFmtId="172" fontId="6" fillId="0" borderId="45" xfId="0" applyNumberFormat="1" applyFont="1" applyBorder="1" applyAlignment="1">
      <alignment horizontal="left" vertical="center" wrapText="1" readingOrder="1"/>
    </xf>
    <xf numFmtId="172" fontId="6" fillId="7" borderId="47" xfId="0" applyNumberFormat="1" applyFont="1" applyFill="1" applyBorder="1" applyAlignment="1">
      <alignment horizontal="left" vertical="center" wrapText="1" readingOrder="1"/>
    </xf>
    <xf numFmtId="0" fontId="6" fillId="0" borderId="46" xfId="0" applyFont="1" applyBorder="1" applyAlignment="1">
      <alignment horizontal="left" vertical="center" wrapText="1" indent="1" readingOrder="1"/>
    </xf>
    <xf numFmtId="172" fontId="6" fillId="7" borderId="8" xfId="0" applyNumberFormat="1" applyFont="1" applyFill="1" applyBorder="1" applyAlignment="1">
      <alignment horizontal="left" vertical="center" wrapText="1" readingOrder="1"/>
    </xf>
    <xf numFmtId="172" fontId="64" fillId="0" borderId="0" xfId="0" applyNumberFormat="1" applyFont="1" applyAlignment="1">
      <alignment horizontal="left"/>
    </xf>
    <xf numFmtId="172" fontId="6" fillId="7" borderId="44" xfId="0" applyNumberFormat="1" applyFont="1" applyFill="1" applyBorder="1" applyAlignment="1">
      <alignment horizontal="left" vertical="center" wrapText="1" readingOrder="1"/>
    </xf>
    <xf numFmtId="0" fontId="6" fillId="0" borderId="43" xfId="0" applyFont="1" applyBorder="1" applyAlignment="1">
      <alignment horizontal="left" vertical="center" wrapText="1" indent="1" readingOrder="1"/>
    </xf>
    <xf numFmtId="172" fontId="6" fillId="7" borderId="21" xfId="0" applyNumberFormat="1" applyFont="1" applyFill="1" applyBorder="1" applyAlignment="1">
      <alignment horizontal="left" vertical="center" wrapText="1" readingOrder="1"/>
    </xf>
    <xf numFmtId="172" fontId="6" fillId="0" borderId="5" xfId="0" applyNumberFormat="1" applyFont="1" applyBorder="1" applyAlignment="1">
      <alignment horizontal="left" vertical="center" wrapText="1" readingOrder="1"/>
    </xf>
    <xf numFmtId="172" fontId="6" fillId="7" borderId="42" xfId="0" applyNumberFormat="1" applyFont="1" applyFill="1" applyBorder="1" applyAlignment="1">
      <alignment horizontal="left" vertical="center" wrapText="1" readingOrder="1"/>
    </xf>
    <xf numFmtId="0" fontId="6" fillId="0" borderId="41" xfId="0" applyFont="1" applyBorder="1" applyAlignment="1">
      <alignment horizontal="left" vertical="center" wrapText="1" indent="1" readingOrder="1"/>
    </xf>
    <xf numFmtId="0" fontId="10" fillId="0" borderId="18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 indent="8"/>
    </xf>
    <xf numFmtId="166" fontId="0" fillId="0" borderId="0" xfId="0" applyNumberFormat="1"/>
    <xf numFmtId="177" fontId="66" fillId="0" borderId="60" xfId="0" applyNumberFormat="1" applyFont="1" applyBorder="1" applyAlignment="1">
      <alignment horizontal="center" vertical="center" wrapText="1" readingOrder="1"/>
    </xf>
    <xf numFmtId="177" fontId="71" fillId="13" borderId="5" xfId="0" applyNumberFormat="1" applyFont="1" applyFill="1" applyBorder="1" applyAlignment="1">
      <alignment horizontal="center" vertical="center" wrapText="1" readingOrder="1"/>
    </xf>
    <xf numFmtId="177" fontId="71" fillId="13" borderId="70" xfId="0" applyNumberFormat="1" applyFont="1" applyFill="1" applyBorder="1" applyAlignment="1">
      <alignment horizontal="center" vertical="center" wrapText="1" readingOrder="1"/>
    </xf>
    <xf numFmtId="177" fontId="71" fillId="22" borderId="75" xfId="0" applyNumberFormat="1" applyFont="1" applyFill="1" applyBorder="1" applyAlignment="1">
      <alignment horizontal="center" vertical="center" wrapText="1" readingOrder="1"/>
    </xf>
    <xf numFmtId="0" fontId="69" fillId="22" borderId="107" xfId="0" applyFont="1" applyFill="1" applyBorder="1" applyAlignment="1">
      <alignment horizontal="left" vertical="center" wrapText="1" readingOrder="1"/>
    </xf>
    <xf numFmtId="0" fontId="72" fillId="0" borderId="0" xfId="0" applyFont="1"/>
    <xf numFmtId="175" fontId="58" fillId="0" borderId="0" xfId="0" applyNumberFormat="1" applyFont="1"/>
    <xf numFmtId="175" fontId="51" fillId="0" borderId="0" xfId="14" applyNumberFormat="1" applyFont="1" applyFill="1" applyBorder="1" applyAlignment="1" applyProtection="1">
      <alignment horizontal="center" vertical="center"/>
      <protection locked="0"/>
    </xf>
    <xf numFmtId="175" fontId="38" fillId="17" borderId="66" xfId="14" applyNumberFormat="1" applyFont="1" applyFill="1" applyBorder="1" applyAlignment="1" applyProtection="1">
      <alignment horizontal="center" vertical="center"/>
      <protection locked="0"/>
    </xf>
    <xf numFmtId="175" fontId="38" fillId="17" borderId="60" xfId="14" applyNumberFormat="1" applyFont="1" applyFill="1" applyBorder="1" applyAlignment="1" applyProtection="1">
      <alignment horizontal="center" vertical="center"/>
      <protection locked="0"/>
    </xf>
    <xf numFmtId="175" fontId="38" fillId="17" borderId="67" xfId="14" applyNumberFormat="1" applyFont="1" applyFill="1" applyBorder="1" applyAlignment="1" applyProtection="1">
      <alignment horizontal="center" vertical="center"/>
      <protection locked="0"/>
    </xf>
    <xf numFmtId="0" fontId="38" fillId="11" borderId="68" xfId="15" applyFont="1" applyFill="1" applyBorder="1" applyAlignment="1">
      <alignment horizontal="left" vertical="center" indent="6"/>
    </xf>
    <xf numFmtId="175" fontId="38" fillId="17" borderId="63" xfId="14" applyNumberFormat="1" applyFont="1" applyFill="1" applyBorder="1" applyAlignment="1" applyProtection="1">
      <alignment horizontal="center" vertical="center"/>
      <protection locked="0"/>
    </xf>
    <xf numFmtId="175" fontId="38" fillId="17" borderId="0" xfId="14" applyNumberFormat="1" applyFont="1" applyFill="1" applyBorder="1" applyAlignment="1" applyProtection="1">
      <alignment horizontal="center" vertical="center"/>
      <protection locked="0"/>
    </xf>
    <xf numFmtId="175" fontId="38" fillId="17" borderId="74" xfId="14" applyNumberFormat="1" applyFont="1" applyFill="1" applyBorder="1" applyAlignment="1" applyProtection="1">
      <alignment horizontal="center" vertical="center"/>
      <protection locked="0"/>
    </xf>
    <xf numFmtId="0" fontId="38" fillId="0" borderId="64" xfId="15" applyFont="1" applyBorder="1" applyAlignment="1">
      <alignment horizontal="left" vertical="center" indent="6"/>
    </xf>
    <xf numFmtId="175" fontId="42" fillId="0" borderId="63" xfId="14" applyNumberFormat="1" applyFont="1" applyFill="1" applyBorder="1" applyAlignment="1" applyProtection="1">
      <alignment horizontal="center" vertical="center"/>
      <protection locked="0"/>
    </xf>
    <xf numFmtId="175" fontId="42" fillId="0" borderId="0" xfId="14" applyNumberFormat="1" applyFont="1" applyFill="1" applyBorder="1" applyAlignment="1" applyProtection="1">
      <alignment horizontal="center" vertical="center"/>
      <protection locked="0"/>
    </xf>
    <xf numFmtId="175" fontId="42" fillId="0" borderId="74" xfId="14" applyNumberFormat="1" applyFont="1" applyFill="1" applyBorder="1" applyAlignment="1" applyProtection="1">
      <alignment horizontal="center" vertical="center"/>
      <protection locked="0"/>
    </xf>
    <xf numFmtId="0" fontId="42" fillId="0" borderId="64" xfId="15" applyFont="1" applyBorder="1" applyAlignment="1">
      <alignment horizontal="left" vertical="center" indent="4"/>
    </xf>
    <xf numFmtId="175" fontId="42" fillId="17" borderId="63" xfId="14" applyNumberFormat="1" applyFont="1" applyFill="1" applyBorder="1" applyAlignment="1" applyProtection="1">
      <alignment horizontal="center" vertical="center"/>
      <protection locked="0"/>
    </xf>
    <xf numFmtId="175" fontId="42" fillId="17" borderId="0" xfId="14" applyNumberFormat="1" applyFont="1" applyFill="1" applyBorder="1" applyAlignment="1" applyProtection="1">
      <alignment horizontal="center" vertical="center"/>
      <protection locked="0"/>
    </xf>
    <xf numFmtId="175" fontId="42" fillId="17" borderId="74" xfId="14" applyNumberFormat="1" applyFont="1" applyFill="1" applyBorder="1" applyAlignment="1" applyProtection="1">
      <alignment horizontal="center" vertical="center"/>
      <protection locked="0"/>
    </xf>
    <xf numFmtId="0" fontId="42" fillId="0" borderId="64" xfId="15" applyFont="1" applyBorder="1" applyAlignment="1">
      <alignment horizontal="left" vertical="center" indent="2"/>
    </xf>
    <xf numFmtId="0" fontId="38" fillId="0" borderId="64" xfId="15" applyFont="1" applyBorder="1" applyAlignment="1">
      <alignment horizontal="left" vertical="center" indent="4"/>
    </xf>
    <xf numFmtId="175" fontId="42" fillId="0" borderId="69" xfId="14" applyNumberFormat="1" applyFont="1" applyFill="1" applyBorder="1" applyAlignment="1" applyProtection="1">
      <alignment horizontal="center" vertical="center"/>
    </xf>
    <xf numFmtId="175" fontId="42" fillId="0" borderId="70" xfId="14" applyNumberFormat="1" applyFont="1" applyFill="1" applyBorder="1" applyAlignment="1" applyProtection="1">
      <alignment horizontal="center" vertical="center"/>
    </xf>
    <xf numFmtId="175" fontId="42" fillId="0" borderId="71" xfId="14" applyNumberFormat="1" applyFont="1" applyFill="1" applyBorder="1" applyAlignment="1" applyProtection="1">
      <alignment horizontal="center" vertical="center"/>
    </xf>
    <xf numFmtId="0" fontId="44" fillId="18" borderId="72" xfId="16" applyFont="1" applyFill="1" applyBorder="1" applyAlignment="1">
      <alignment horizontal="center" vertical="center"/>
    </xf>
    <xf numFmtId="0" fontId="50" fillId="0" borderId="78" xfId="15" applyFont="1" applyBorder="1" applyAlignment="1">
      <alignment horizontal="left" vertical="center"/>
    </xf>
    <xf numFmtId="175" fontId="48" fillId="17" borderId="60" xfId="14" applyNumberFormat="1" applyFont="1" applyFill="1" applyBorder="1" applyAlignment="1" applyProtection="1">
      <alignment horizontal="center" vertical="center"/>
      <protection locked="0"/>
    </xf>
    <xf numFmtId="174" fontId="48" fillId="0" borderId="0" xfId="0" applyNumberFormat="1" applyFont="1"/>
    <xf numFmtId="165" fontId="51" fillId="0" borderId="0" xfId="14" applyNumberFormat="1" applyFont="1" applyFill="1" applyBorder="1" applyAlignment="1" applyProtection="1">
      <alignment horizontal="center" vertical="center"/>
      <protection locked="0"/>
    </xf>
    <xf numFmtId="175" fontId="38" fillId="0" borderId="0" xfId="14" applyNumberFormat="1" applyFont="1" applyFill="1" applyBorder="1" applyAlignment="1" applyProtection="1">
      <alignment horizontal="center" vertical="center"/>
      <protection locked="0"/>
    </xf>
    <xf numFmtId="0" fontId="38" fillId="11" borderId="0" xfId="15" applyFont="1" applyFill="1" applyAlignment="1">
      <alignment horizontal="left" vertical="center" indent="6"/>
    </xf>
    <xf numFmtId="9" fontId="59" fillId="15" borderId="66" xfId="1" applyFont="1" applyFill="1" applyBorder="1" applyAlignment="1">
      <alignment horizontal="right"/>
    </xf>
    <xf numFmtId="9" fontId="59" fillId="15" borderId="116" xfId="1" applyFont="1" applyFill="1" applyBorder="1" applyAlignment="1">
      <alignment horizontal="right"/>
    </xf>
    <xf numFmtId="171" fontId="48" fillId="0" borderId="60" xfId="0" applyNumberFormat="1" applyFont="1" applyBorder="1"/>
    <xf numFmtId="172" fontId="48" fillId="13" borderId="117" xfId="0" applyNumberFormat="1" applyFont="1" applyFill="1" applyBorder="1"/>
    <xf numFmtId="171" fontId="48" fillId="0" borderId="67" xfId="0" applyNumberFormat="1" applyFont="1" applyBorder="1"/>
    <xf numFmtId="0" fontId="38" fillId="0" borderId="67" xfId="15" applyFont="1" applyBorder="1" applyAlignment="1">
      <alignment horizontal="left" vertical="center" indent="6"/>
    </xf>
    <xf numFmtId="171" fontId="38" fillId="0" borderId="66" xfId="14" applyNumberFormat="1" applyFont="1" applyFill="1" applyBorder="1" applyAlignment="1" applyProtection="1">
      <alignment horizontal="center" vertical="center"/>
      <protection locked="0"/>
    </xf>
    <xf numFmtId="171" fontId="38" fillId="0" borderId="60" xfId="14" applyNumberFormat="1" applyFont="1" applyFill="1" applyBorder="1" applyAlignment="1" applyProtection="1">
      <alignment horizontal="center" vertical="center"/>
      <protection locked="0"/>
    </xf>
    <xf numFmtId="0" fontId="38" fillId="11" borderId="67" xfId="15" applyFont="1" applyFill="1" applyBorder="1" applyAlignment="1">
      <alignment horizontal="left" vertical="center" indent="6"/>
    </xf>
    <xf numFmtId="9" fontId="59" fillId="15" borderId="63" xfId="1" applyFont="1" applyFill="1" applyBorder="1" applyAlignment="1">
      <alignment horizontal="right"/>
    </xf>
    <xf numFmtId="9" fontId="59" fillId="15" borderId="118" xfId="1" applyFont="1" applyFill="1" applyBorder="1" applyAlignment="1">
      <alignment horizontal="right"/>
    </xf>
    <xf numFmtId="171" fontId="48" fillId="0" borderId="0" xfId="0" applyNumberFormat="1" applyFont="1"/>
    <xf numFmtId="172" fontId="48" fillId="13" borderId="119" xfId="0" applyNumberFormat="1" applyFont="1" applyFill="1" applyBorder="1"/>
    <xf numFmtId="171" fontId="48" fillId="0" borderId="74" xfId="0" applyNumberFormat="1" applyFont="1" applyBorder="1"/>
    <xf numFmtId="0" fontId="38" fillId="0" borderId="74" xfId="15" applyFont="1" applyBorder="1" applyAlignment="1">
      <alignment horizontal="left" vertical="center" indent="6"/>
    </xf>
    <xf numFmtId="171" fontId="38" fillId="0" borderId="63" xfId="14" applyNumberFormat="1" applyFont="1" applyFill="1" applyBorder="1" applyAlignment="1" applyProtection="1">
      <alignment horizontal="center" vertical="center"/>
      <protection locked="0"/>
    </xf>
    <xf numFmtId="171" fontId="38" fillId="0" borderId="0" xfId="14" applyNumberFormat="1" applyFont="1" applyFill="1" applyBorder="1" applyAlignment="1" applyProtection="1">
      <alignment horizontal="center" vertical="center"/>
      <protection locked="0"/>
    </xf>
    <xf numFmtId="9" fontId="73" fillId="15" borderId="69" xfId="1" applyFont="1" applyFill="1" applyBorder="1" applyAlignment="1">
      <alignment horizontal="right"/>
    </xf>
    <xf numFmtId="9" fontId="59" fillId="15" borderId="120" xfId="1" applyFont="1" applyFill="1" applyBorder="1" applyAlignment="1">
      <alignment horizontal="right"/>
    </xf>
    <xf numFmtId="171" fontId="42" fillId="0" borderId="63" xfId="14" applyNumberFormat="1" applyFont="1" applyFill="1" applyBorder="1" applyAlignment="1" applyProtection="1">
      <alignment horizontal="center" vertical="center"/>
      <protection locked="0"/>
    </xf>
    <xf numFmtId="171" fontId="42" fillId="0" borderId="0" xfId="14" applyNumberFormat="1" applyFont="1" applyFill="1" applyBorder="1" applyAlignment="1" applyProtection="1">
      <alignment horizontal="center" vertical="center"/>
      <protection locked="0"/>
    </xf>
    <xf numFmtId="0" fontId="42" fillId="0" borderId="74" xfId="15" applyFont="1" applyBorder="1" applyAlignment="1">
      <alignment horizontal="left" vertical="center" indent="4"/>
    </xf>
    <xf numFmtId="171" fontId="49" fillId="0" borderId="60" xfId="0" applyNumberFormat="1" applyFont="1" applyBorder="1"/>
    <xf numFmtId="172" fontId="49" fillId="13" borderId="117" xfId="0" applyNumberFormat="1" applyFont="1" applyFill="1" applyBorder="1"/>
    <xf numFmtId="171" fontId="49" fillId="0" borderId="67" xfId="0" applyNumberFormat="1" applyFont="1" applyBorder="1"/>
    <xf numFmtId="0" fontId="42" fillId="0" borderId="67" xfId="15" applyFont="1" applyBorder="1" applyAlignment="1">
      <alignment horizontal="left" vertical="center"/>
    </xf>
    <xf numFmtId="9" fontId="73" fillId="15" borderId="63" xfId="1" applyFont="1" applyFill="1" applyBorder="1" applyAlignment="1">
      <alignment horizontal="right"/>
    </xf>
    <xf numFmtId="9" fontId="73" fillId="15" borderId="118" xfId="1" applyFont="1" applyFill="1" applyBorder="1" applyAlignment="1">
      <alignment horizontal="right"/>
    </xf>
    <xf numFmtId="0" fontId="38" fillId="0" borderId="74" xfId="15" applyFont="1" applyBorder="1" applyAlignment="1">
      <alignment horizontal="left" vertical="center" indent="4"/>
    </xf>
    <xf numFmtId="171" fontId="42" fillId="0" borderId="66" xfId="14" applyNumberFormat="1" applyFont="1" applyFill="1" applyBorder="1" applyAlignment="1" applyProtection="1">
      <alignment horizontal="center" vertical="center"/>
      <protection locked="0"/>
    </xf>
    <xf numFmtId="171" fontId="42" fillId="0" borderId="60" xfId="14" applyNumberFormat="1" applyFont="1" applyFill="1" applyBorder="1" applyAlignment="1" applyProtection="1">
      <alignment horizontal="center" vertical="center"/>
      <protection locked="0"/>
    </xf>
    <xf numFmtId="0" fontId="42" fillId="0" borderId="67" xfId="15" applyFont="1" applyBorder="1" applyAlignment="1">
      <alignment horizontal="left" vertical="center" indent="2"/>
    </xf>
    <xf numFmtId="171" fontId="48" fillId="13" borderId="119" xfId="0" applyNumberFormat="1" applyFont="1" applyFill="1" applyBorder="1"/>
    <xf numFmtId="175" fontId="48" fillId="0" borderId="0" xfId="0" applyNumberFormat="1" applyFont="1"/>
    <xf numFmtId="171" fontId="49" fillId="0" borderId="0" xfId="0" applyNumberFormat="1" applyFont="1"/>
    <xf numFmtId="171" fontId="49" fillId="13" borderId="119" xfId="0" applyNumberFormat="1" applyFont="1" applyFill="1" applyBorder="1"/>
    <xf numFmtId="171" fontId="49" fillId="0" borderId="74" xfId="0" applyNumberFormat="1" applyFont="1" applyBorder="1"/>
    <xf numFmtId="0" fontId="42" fillId="0" borderId="74" xfId="15" applyFont="1" applyBorder="1" applyAlignment="1">
      <alignment horizontal="left" vertical="center" indent="2"/>
    </xf>
    <xf numFmtId="171" fontId="38" fillId="0" borderId="83" xfId="14" applyNumberFormat="1" applyFont="1" applyFill="1" applyBorder="1" applyAlignment="1" applyProtection="1">
      <alignment horizontal="center" vertical="center"/>
      <protection locked="0"/>
    </xf>
    <xf numFmtId="171" fontId="38" fillId="0" borderId="62" xfId="14" applyNumberFormat="1" applyFont="1" applyFill="1" applyBorder="1" applyAlignment="1" applyProtection="1">
      <alignment horizontal="center" vertical="center"/>
      <protection locked="0"/>
    </xf>
    <xf numFmtId="172" fontId="49" fillId="0" borderId="0" xfId="0" applyNumberFormat="1" applyFont="1"/>
    <xf numFmtId="172" fontId="49" fillId="13" borderId="119" xfId="0" applyNumberFormat="1" applyFont="1" applyFill="1" applyBorder="1"/>
    <xf numFmtId="171" fontId="49" fillId="0" borderId="92" xfId="0" applyNumberFormat="1" applyFont="1" applyBorder="1"/>
    <xf numFmtId="0" fontId="42" fillId="0" borderId="71" xfId="15" applyFont="1" applyBorder="1" applyAlignment="1">
      <alignment vertical="center"/>
    </xf>
    <xf numFmtId="171" fontId="42" fillId="0" borderId="69" xfId="14" applyNumberFormat="1" applyFont="1" applyFill="1" applyBorder="1" applyAlignment="1" applyProtection="1">
      <alignment horizontal="center" vertical="center"/>
    </xf>
    <xf numFmtId="171" fontId="42" fillId="0" borderId="70" xfId="14" applyNumberFormat="1" applyFont="1" applyFill="1" applyBorder="1" applyAlignment="1" applyProtection="1">
      <alignment horizontal="center" vertical="center"/>
    </xf>
    <xf numFmtId="0" fontId="49" fillId="0" borderId="122" xfId="0" applyFont="1" applyBorder="1" applyAlignment="1">
      <alignment horizontal="center" vertical="center"/>
    </xf>
    <xf numFmtId="0" fontId="49" fillId="0" borderId="123" xfId="0" applyFont="1" applyBorder="1" applyAlignment="1">
      <alignment horizontal="center" vertical="center"/>
    </xf>
    <xf numFmtId="0" fontId="50" fillId="0" borderId="76" xfId="15" applyFont="1" applyBorder="1" applyAlignment="1">
      <alignment horizontal="center" vertical="center"/>
    </xf>
    <xf numFmtId="14" fontId="48" fillId="12" borderId="0" xfId="0" applyNumberFormat="1" applyFont="1" applyFill="1"/>
    <xf numFmtId="0" fontId="0" fillId="0" borderId="74" xfId="0" applyBorder="1"/>
    <xf numFmtId="0" fontId="48" fillId="0" borderId="3" xfId="0" applyFont="1" applyBorder="1"/>
    <xf numFmtId="0" fontId="48" fillId="0" borderId="88" xfId="0" applyFont="1" applyBorder="1"/>
    <xf numFmtId="179" fontId="62" fillId="7" borderId="62" xfId="0" applyNumberFormat="1" applyFont="1" applyFill="1" applyBorder="1" applyAlignment="1">
      <alignment horizontal="center" vertical="center" wrapText="1" readingOrder="1"/>
    </xf>
    <xf numFmtId="179" fontId="62" fillId="7" borderId="124" xfId="0" applyNumberFormat="1" applyFont="1" applyFill="1" applyBorder="1" applyAlignment="1">
      <alignment horizontal="center" vertical="center" wrapText="1" readingOrder="1"/>
    </xf>
    <xf numFmtId="9" fontId="74" fillId="11" borderId="125" xfId="0" applyNumberFormat="1" applyFont="1" applyFill="1" applyBorder="1" applyAlignment="1">
      <alignment horizontal="center" vertical="center" wrapText="1" readingOrder="1"/>
    </xf>
    <xf numFmtId="9" fontId="74" fillId="0" borderId="62" xfId="0" applyNumberFormat="1" applyFont="1" applyBorder="1" applyAlignment="1">
      <alignment horizontal="center" vertical="center" wrapText="1" readingOrder="1"/>
    </xf>
    <xf numFmtId="9" fontId="74" fillId="3" borderId="126" xfId="0" applyNumberFormat="1" applyFont="1" applyFill="1" applyBorder="1" applyAlignment="1">
      <alignment horizontal="center" vertical="center" wrapText="1" readingOrder="1"/>
    </xf>
    <xf numFmtId="9" fontId="74" fillId="0" borderId="127" xfId="0" applyNumberFormat="1" applyFont="1" applyBorder="1" applyAlignment="1">
      <alignment horizontal="center" vertical="center" wrapText="1" readingOrder="1"/>
    </xf>
    <xf numFmtId="9" fontId="74" fillId="3" borderId="125" xfId="0" applyNumberFormat="1" applyFont="1" applyFill="1" applyBorder="1" applyAlignment="1">
      <alignment horizontal="center" vertical="center" wrapText="1" readingOrder="1"/>
    </xf>
    <xf numFmtId="9" fontId="74" fillId="0" borderId="84" xfId="0" applyNumberFormat="1" applyFont="1" applyBorder="1" applyAlignment="1">
      <alignment horizontal="center" vertical="center" wrapText="1" readingOrder="1"/>
    </xf>
    <xf numFmtId="0" fontId="74" fillId="0" borderId="81" xfId="0" applyFont="1" applyBorder="1" applyAlignment="1">
      <alignment horizontal="left" vertical="center" wrapText="1" readingOrder="1"/>
    </xf>
    <xf numFmtId="9" fontId="75" fillId="7" borderId="86" xfId="0" applyNumberFormat="1" applyFont="1" applyFill="1" applyBorder="1" applyAlignment="1">
      <alignment horizontal="center" vertical="center" wrapText="1" readingOrder="1"/>
    </xf>
    <xf numFmtId="9" fontId="75" fillId="7" borderId="0" xfId="0" applyNumberFormat="1" applyFont="1" applyFill="1" applyAlignment="1">
      <alignment horizontal="center" vertical="center" wrapText="1" readingOrder="1"/>
    </xf>
    <xf numFmtId="9" fontId="75" fillId="7" borderId="56" xfId="0" applyNumberFormat="1" applyFont="1" applyFill="1" applyBorder="1" applyAlignment="1">
      <alignment horizontal="center" vertical="center" wrapText="1" readingOrder="1"/>
    </xf>
    <xf numFmtId="177" fontId="55" fillId="11" borderId="57" xfId="0" applyNumberFormat="1" applyFont="1" applyFill="1" applyBorder="1" applyAlignment="1">
      <alignment horizontal="center" vertical="center" wrapText="1" readingOrder="1"/>
    </xf>
    <xf numFmtId="177" fontId="55" fillId="3" borderId="128" xfId="0" applyNumberFormat="1" applyFont="1" applyFill="1" applyBorder="1" applyAlignment="1">
      <alignment horizontal="center" vertical="center" wrapText="1" readingOrder="1"/>
    </xf>
    <xf numFmtId="177" fontId="55" fillId="0" borderId="129" xfId="0" applyNumberFormat="1" applyFont="1" applyBorder="1" applyAlignment="1">
      <alignment horizontal="center" vertical="center" wrapText="1" readingOrder="1"/>
    </xf>
    <xf numFmtId="177" fontId="55" fillId="3" borderId="57" xfId="0" applyNumberFormat="1" applyFont="1" applyFill="1" applyBorder="1" applyAlignment="1">
      <alignment horizontal="center" vertical="center" wrapText="1" readingOrder="1"/>
    </xf>
    <xf numFmtId="177" fontId="55" fillId="0" borderId="88" xfId="0" applyNumberFormat="1" applyFont="1" applyBorder="1" applyAlignment="1">
      <alignment horizontal="center" vertical="center" wrapText="1" readingOrder="1"/>
    </xf>
    <xf numFmtId="9" fontId="62" fillId="7" borderId="86" xfId="0" applyNumberFormat="1" applyFont="1" applyFill="1" applyBorder="1" applyAlignment="1">
      <alignment horizontal="center" vertical="center" wrapText="1" readingOrder="1"/>
    </xf>
    <xf numFmtId="9" fontId="62" fillId="7" borderId="0" xfId="0" applyNumberFormat="1" applyFont="1" applyFill="1" applyAlignment="1">
      <alignment horizontal="center" vertical="center" wrapText="1" readingOrder="1"/>
    </xf>
    <xf numFmtId="9" fontId="62" fillId="7" borderId="56" xfId="0" applyNumberFormat="1" applyFont="1" applyFill="1" applyBorder="1" applyAlignment="1">
      <alignment horizontal="center" vertical="center" wrapText="1" readingOrder="1"/>
    </xf>
    <xf numFmtId="177" fontId="54" fillId="11" borderId="57" xfId="0" applyNumberFormat="1" applyFont="1" applyFill="1" applyBorder="1" applyAlignment="1">
      <alignment horizontal="center" vertical="center" wrapText="1" readingOrder="1"/>
    </xf>
    <xf numFmtId="177" fontId="54" fillId="3" borderId="128" xfId="0" applyNumberFormat="1" applyFont="1" applyFill="1" applyBorder="1" applyAlignment="1">
      <alignment horizontal="center" vertical="center" wrapText="1" readingOrder="1"/>
    </xf>
    <xf numFmtId="177" fontId="54" fillId="0" borderId="129" xfId="0" applyNumberFormat="1" applyFont="1" applyBorder="1" applyAlignment="1">
      <alignment horizontal="center" vertical="center" wrapText="1" readingOrder="1"/>
    </xf>
    <xf numFmtId="177" fontId="54" fillId="3" borderId="57" xfId="0" applyNumberFormat="1" applyFont="1" applyFill="1" applyBorder="1" applyAlignment="1">
      <alignment horizontal="center" vertical="center" wrapText="1" readingOrder="1"/>
    </xf>
    <xf numFmtId="177" fontId="54" fillId="0" borderId="88" xfId="0" applyNumberFormat="1" applyFont="1" applyBorder="1" applyAlignment="1">
      <alignment horizontal="center" vertical="center" wrapText="1" readingOrder="1"/>
    </xf>
    <xf numFmtId="179" fontId="62" fillId="7" borderId="0" xfId="0" applyNumberFormat="1" applyFont="1" applyFill="1" applyAlignment="1">
      <alignment horizontal="center" vertical="center" wrapText="1" readingOrder="1"/>
    </xf>
    <xf numFmtId="179" fontId="62" fillId="7" borderId="56" xfId="0" applyNumberFormat="1" applyFont="1" applyFill="1" applyBorder="1" applyAlignment="1">
      <alignment horizontal="center" vertical="center" wrapText="1" readingOrder="1"/>
    </xf>
    <xf numFmtId="9" fontId="74" fillId="11" borderId="57" xfId="0" applyNumberFormat="1" applyFont="1" applyFill="1" applyBorder="1" applyAlignment="1">
      <alignment horizontal="center" vertical="center" wrapText="1" readingOrder="1"/>
    </xf>
    <xf numFmtId="9" fontId="74" fillId="0" borderId="0" xfId="0" applyNumberFormat="1" applyFont="1" applyAlignment="1">
      <alignment horizontal="center" vertical="center" wrapText="1" readingOrder="1"/>
    </xf>
    <xf numFmtId="9" fontId="74" fillId="3" borderId="128" xfId="0" applyNumberFormat="1" applyFont="1" applyFill="1" applyBorder="1" applyAlignment="1">
      <alignment horizontal="center" vertical="center" wrapText="1" readingOrder="1"/>
    </xf>
    <xf numFmtId="9" fontId="74" fillId="0" borderId="129" xfId="0" applyNumberFormat="1" applyFont="1" applyBorder="1" applyAlignment="1">
      <alignment horizontal="center" vertical="center" wrapText="1" readingOrder="1"/>
    </xf>
    <xf numFmtId="9" fontId="74" fillId="3" borderId="57" xfId="0" applyNumberFormat="1" applyFont="1" applyFill="1" applyBorder="1" applyAlignment="1">
      <alignment horizontal="center" vertical="center" wrapText="1" readingOrder="1"/>
    </xf>
    <xf numFmtId="9" fontId="74" fillId="0" borderId="88" xfId="0" applyNumberFormat="1" applyFont="1" applyBorder="1" applyAlignment="1">
      <alignment horizontal="center" vertical="center" wrapText="1" readingOrder="1"/>
    </xf>
    <xf numFmtId="0" fontId="74" fillId="0" borderId="86" xfId="0" applyFont="1" applyBorder="1" applyAlignment="1">
      <alignment horizontal="left" vertical="center" wrapText="1" readingOrder="1"/>
    </xf>
    <xf numFmtId="0" fontId="55" fillId="7" borderId="65" xfId="0" applyFont="1" applyFill="1" applyBorder="1" applyAlignment="1">
      <alignment horizontal="center" vertical="center" wrapText="1" readingOrder="1"/>
    </xf>
    <xf numFmtId="0" fontId="55" fillId="7" borderId="73" xfId="0" applyFont="1" applyFill="1" applyBorder="1" applyAlignment="1">
      <alignment horizontal="center" vertical="center" wrapText="1" readingOrder="1"/>
    </xf>
    <xf numFmtId="0" fontId="55" fillId="7" borderId="130" xfId="0" applyFont="1" applyFill="1" applyBorder="1" applyAlignment="1">
      <alignment horizontal="center" vertical="center" wrapText="1" readingOrder="1"/>
    </xf>
    <xf numFmtId="0" fontId="55" fillId="11" borderId="131" xfId="0" applyFont="1" applyFill="1" applyBorder="1" applyAlignment="1">
      <alignment horizontal="center" vertical="center" wrapText="1" readingOrder="1"/>
    </xf>
    <xf numFmtId="0" fontId="55" fillId="0" borderId="73" xfId="0" applyFont="1" applyBorder="1" applyAlignment="1">
      <alignment horizontal="center" vertical="center" wrapText="1" readingOrder="1"/>
    </xf>
    <xf numFmtId="0" fontId="55" fillId="3" borderId="131" xfId="0" applyFont="1" applyFill="1" applyBorder="1" applyAlignment="1">
      <alignment horizontal="center" vertical="center" wrapText="1" readingOrder="1"/>
    </xf>
    <xf numFmtId="0" fontId="55" fillId="0" borderId="132" xfId="0" applyFont="1" applyBorder="1" applyAlignment="1">
      <alignment horizontal="center" vertical="center" wrapText="1" readingOrder="1"/>
    </xf>
    <xf numFmtId="0" fontId="55" fillId="0" borderId="133" xfId="0" applyFont="1" applyBorder="1" applyAlignment="1">
      <alignment horizontal="center" vertical="center" wrapText="1" readingOrder="1"/>
    </xf>
    <xf numFmtId="0" fontId="55" fillId="0" borderId="134" xfId="0" applyFont="1" applyBorder="1" applyAlignment="1">
      <alignment horizontal="center" vertical="center" wrapText="1" readingOrder="1"/>
    </xf>
    <xf numFmtId="0" fontId="60" fillId="0" borderId="65" xfId="0" applyFont="1" applyBorder="1" applyAlignment="1">
      <alignment horizontal="left" vertical="center" wrapText="1" readingOrder="1"/>
    </xf>
    <xf numFmtId="0" fontId="54" fillId="0" borderId="96" xfId="0" applyFont="1" applyBorder="1" applyAlignment="1">
      <alignment horizontal="left" vertical="center" wrapText="1" readingOrder="1"/>
    </xf>
    <xf numFmtId="170" fontId="48" fillId="0" borderId="0" xfId="0" applyNumberFormat="1" applyFont="1"/>
    <xf numFmtId="9" fontId="48" fillId="0" borderId="0" xfId="0" applyNumberFormat="1" applyFont="1"/>
    <xf numFmtId="43" fontId="48" fillId="0" borderId="0" xfId="13" applyFont="1"/>
    <xf numFmtId="0" fontId="55" fillId="0" borderId="135" xfId="0" applyFont="1" applyBorder="1" applyAlignment="1">
      <alignment horizontal="center" vertical="center" wrapText="1" readingOrder="1"/>
    </xf>
    <xf numFmtId="0" fontId="55" fillId="0" borderId="1" xfId="0" applyFont="1" applyBorder="1" applyAlignment="1">
      <alignment horizontal="center" vertical="center" wrapText="1" readingOrder="1"/>
    </xf>
    <xf numFmtId="0" fontId="73" fillId="0" borderId="0" xfId="0" applyFont="1"/>
    <xf numFmtId="180" fontId="62" fillId="7" borderId="81" xfId="0" applyNumberFormat="1" applyFont="1" applyFill="1" applyBorder="1" applyAlignment="1">
      <alignment horizontal="center" vertical="center" wrapText="1" readingOrder="1"/>
    </xf>
    <xf numFmtId="180" fontId="62" fillId="7" borderId="62" xfId="0" applyNumberFormat="1" applyFont="1" applyFill="1" applyBorder="1" applyAlignment="1">
      <alignment horizontal="center" vertical="center" wrapText="1" readingOrder="1"/>
    </xf>
    <xf numFmtId="9" fontId="74" fillId="3" borderId="62" xfId="0" applyNumberFormat="1" applyFont="1" applyFill="1" applyBorder="1" applyAlignment="1">
      <alignment horizontal="center" vertical="center" wrapText="1" readingOrder="1"/>
    </xf>
    <xf numFmtId="0" fontId="38" fillId="0" borderId="84" xfId="0" applyFont="1" applyBorder="1" applyAlignment="1">
      <alignment vertical="center" wrapText="1"/>
    </xf>
    <xf numFmtId="177" fontId="55" fillId="3" borderId="0" xfId="0" applyNumberFormat="1" applyFont="1" applyFill="1" applyAlignment="1">
      <alignment horizontal="center" vertical="center" wrapText="1" readingOrder="1"/>
    </xf>
    <xf numFmtId="177" fontId="54" fillId="3" borderId="0" xfId="0" applyNumberFormat="1" applyFont="1" applyFill="1" applyAlignment="1">
      <alignment horizontal="center" vertical="center" wrapText="1" readingOrder="1"/>
    </xf>
    <xf numFmtId="180" fontId="62" fillId="7" borderId="86" xfId="0" applyNumberFormat="1" applyFont="1" applyFill="1" applyBorder="1" applyAlignment="1">
      <alignment horizontal="center" vertical="center" wrapText="1" readingOrder="1"/>
    </xf>
    <xf numFmtId="180" fontId="62" fillId="7" borderId="0" xfId="0" applyNumberFormat="1" applyFont="1" applyFill="1" applyAlignment="1">
      <alignment horizontal="center" vertical="center" wrapText="1" readingOrder="1"/>
    </xf>
    <xf numFmtId="9" fontId="74" fillId="3" borderId="0" xfId="0" applyNumberFormat="1" applyFont="1" applyFill="1" applyAlignment="1">
      <alignment horizontal="center" vertical="center" wrapText="1" readingOrder="1"/>
    </xf>
    <xf numFmtId="0" fontId="38" fillId="0" borderId="88" xfId="0" applyFont="1" applyBorder="1" applyAlignment="1">
      <alignment vertical="center" wrapText="1"/>
    </xf>
    <xf numFmtId="0" fontId="55" fillId="3" borderId="73" xfId="0" applyFont="1" applyFill="1" applyBorder="1" applyAlignment="1">
      <alignment horizontal="center" vertical="center" wrapText="1" readingOrder="1"/>
    </xf>
    <xf numFmtId="0" fontId="55" fillId="0" borderId="96" xfId="0" applyFont="1" applyBorder="1" applyAlignment="1">
      <alignment horizontal="center" vertical="center" wrapText="1" readingOrder="1"/>
    </xf>
    <xf numFmtId="0" fontId="38" fillId="0" borderId="96" xfId="0" applyFont="1" applyBorder="1" applyAlignment="1">
      <alignment vertical="center" wrapText="1"/>
    </xf>
    <xf numFmtId="0" fontId="48" fillId="15" borderId="0" xfId="0" applyFont="1" applyFill="1" applyAlignment="1">
      <alignment horizontal="centerContinuous"/>
    </xf>
    <xf numFmtId="0" fontId="49" fillId="15" borderId="0" xfId="0" applyFont="1" applyFill="1" applyAlignment="1">
      <alignment horizontal="centerContinuous"/>
    </xf>
    <xf numFmtId="9" fontId="75" fillId="7" borderId="136" xfId="0" applyNumberFormat="1" applyFont="1" applyFill="1" applyBorder="1" applyAlignment="1">
      <alignment horizontal="center" vertical="center" wrapText="1" readingOrder="1"/>
    </xf>
    <xf numFmtId="9" fontId="75" fillId="7" borderId="54" xfId="0" applyNumberFormat="1" applyFont="1" applyFill="1" applyBorder="1" applyAlignment="1">
      <alignment horizontal="center" vertical="center" wrapText="1" readingOrder="1"/>
    </xf>
    <xf numFmtId="9" fontId="75" fillId="7" borderId="40" xfId="0" applyNumberFormat="1" applyFont="1" applyFill="1" applyBorder="1" applyAlignment="1">
      <alignment horizontal="center" vertical="center" wrapText="1" readingOrder="1"/>
    </xf>
    <xf numFmtId="177" fontId="55" fillId="0" borderId="137" xfId="0" applyNumberFormat="1" applyFont="1" applyBorder="1" applyAlignment="1">
      <alignment horizontal="center" vertical="center" wrapText="1" readingOrder="1"/>
    </xf>
    <xf numFmtId="177" fontId="55" fillId="3" borderId="138" xfId="0" applyNumberFormat="1" applyFont="1" applyFill="1" applyBorder="1" applyAlignment="1">
      <alignment horizontal="center" vertical="center" wrapText="1" readingOrder="1"/>
    </xf>
    <xf numFmtId="177" fontId="55" fillId="0" borderId="139" xfId="0" applyNumberFormat="1" applyFont="1" applyBorder="1" applyAlignment="1">
      <alignment horizontal="center" vertical="center" wrapText="1" readingOrder="1"/>
    </xf>
    <xf numFmtId="177" fontId="54" fillId="0" borderId="57" xfId="0" applyNumberFormat="1" applyFont="1" applyBorder="1" applyAlignment="1">
      <alignment horizontal="center" vertical="center" wrapText="1" readingOrder="1"/>
    </xf>
    <xf numFmtId="177" fontId="54" fillId="0" borderId="61" xfId="0" applyNumberFormat="1" applyFont="1" applyBorder="1" applyAlignment="1">
      <alignment horizontal="center" vertical="center" wrapText="1" readingOrder="1"/>
    </xf>
    <xf numFmtId="177" fontId="54" fillId="3" borderId="61" xfId="0" applyNumberFormat="1" applyFont="1" applyFill="1" applyBorder="1" applyAlignment="1">
      <alignment horizontal="center" vertical="center" wrapText="1" readingOrder="1"/>
    </xf>
    <xf numFmtId="177" fontId="54" fillId="0" borderId="140" xfId="0" applyNumberFormat="1" applyFont="1" applyBorder="1" applyAlignment="1">
      <alignment horizontal="center" vertical="center" wrapText="1" readingOrder="1"/>
    </xf>
    <xf numFmtId="177" fontId="55" fillId="0" borderId="57" xfId="0" applyNumberFormat="1" applyFont="1" applyBorder="1" applyAlignment="1">
      <alignment horizontal="center" vertical="center" wrapText="1" readingOrder="1"/>
    </xf>
    <xf numFmtId="177" fontId="55" fillId="0" borderId="61" xfId="0" applyNumberFormat="1" applyFont="1" applyBorder="1" applyAlignment="1">
      <alignment horizontal="center" vertical="center" wrapText="1" readingOrder="1"/>
    </xf>
    <xf numFmtId="177" fontId="55" fillId="3" borderId="61" xfId="0" applyNumberFormat="1" applyFont="1" applyFill="1" applyBorder="1" applyAlignment="1">
      <alignment horizontal="center" vertical="center" wrapText="1" readingOrder="1"/>
    </xf>
    <xf numFmtId="177" fontId="55" fillId="0" borderId="140" xfId="0" applyNumberFormat="1" applyFont="1" applyBorder="1" applyAlignment="1">
      <alignment horizontal="center" vertical="center" wrapText="1" readingOrder="1"/>
    </xf>
    <xf numFmtId="177" fontId="55" fillId="13" borderId="61" xfId="0" applyNumberFormat="1" applyFont="1" applyFill="1" applyBorder="1" applyAlignment="1">
      <alignment horizontal="center" vertical="center" wrapText="1" readingOrder="1"/>
    </xf>
    <xf numFmtId="180" fontId="62" fillId="7" borderId="56" xfId="0" applyNumberFormat="1" applyFont="1" applyFill="1" applyBorder="1" applyAlignment="1">
      <alignment horizontal="center" vertical="center" wrapText="1" readingOrder="1"/>
    </xf>
    <xf numFmtId="9" fontId="74" fillId="0" borderId="57" xfId="0" applyNumberFormat="1" applyFont="1" applyBorder="1" applyAlignment="1">
      <alignment horizontal="center" vertical="center" wrapText="1" readingOrder="1"/>
    </xf>
    <xf numFmtId="9" fontId="74" fillId="0" borderId="61" xfId="0" applyNumberFormat="1" applyFont="1" applyBorder="1" applyAlignment="1">
      <alignment horizontal="center" vertical="center" wrapText="1" readingOrder="1"/>
    </xf>
    <xf numFmtId="9" fontId="74" fillId="13" borderId="61" xfId="0" applyNumberFormat="1" applyFont="1" applyFill="1" applyBorder="1" applyAlignment="1">
      <alignment horizontal="center" vertical="center" wrapText="1" readingOrder="1"/>
    </xf>
    <xf numFmtId="9" fontId="74" fillId="0" borderId="140" xfId="0" applyNumberFormat="1" applyFont="1" applyBorder="1" applyAlignment="1">
      <alignment horizontal="center" vertical="center" wrapText="1" readingOrder="1"/>
    </xf>
    <xf numFmtId="0" fontId="74" fillId="0" borderId="0" xfId="0" applyFont="1" applyAlignment="1">
      <alignment horizontal="left" vertical="center" wrapText="1" readingOrder="1"/>
    </xf>
    <xf numFmtId="0" fontId="38" fillId="0" borderId="56" xfId="0" applyFont="1" applyBorder="1" applyAlignment="1">
      <alignment vertical="center" wrapText="1"/>
    </xf>
    <xf numFmtId="9" fontId="75" fillId="7" borderId="141" xfId="0" applyNumberFormat="1" applyFont="1" applyFill="1" applyBorder="1" applyAlignment="1">
      <alignment horizontal="center" vertical="center" wrapText="1" readingOrder="1"/>
    </xf>
    <xf numFmtId="9" fontId="75" fillId="7" borderId="38" xfId="0" applyNumberFormat="1" applyFont="1" applyFill="1" applyBorder="1" applyAlignment="1">
      <alignment horizontal="center" vertical="center" wrapText="1" readingOrder="1"/>
    </xf>
    <xf numFmtId="9" fontId="75" fillId="7" borderId="37" xfId="0" applyNumberFormat="1" applyFont="1" applyFill="1" applyBorder="1" applyAlignment="1">
      <alignment horizontal="center" vertical="center" wrapText="1" readingOrder="1"/>
    </xf>
    <xf numFmtId="177" fontId="55" fillId="0" borderId="142" xfId="0" applyNumberFormat="1" applyFont="1" applyBorder="1" applyAlignment="1">
      <alignment horizontal="center" vertical="center" wrapText="1" readingOrder="1"/>
    </xf>
    <xf numFmtId="177" fontId="55" fillId="3" borderId="143" xfId="0" applyNumberFormat="1" applyFont="1" applyFill="1" applyBorder="1" applyAlignment="1">
      <alignment horizontal="center" vertical="center" wrapText="1" readingOrder="1"/>
    </xf>
    <xf numFmtId="177" fontId="55" fillId="0" borderId="144" xfId="0" applyNumberFormat="1" applyFont="1" applyBorder="1" applyAlignment="1">
      <alignment horizontal="center" vertical="center" wrapText="1" readingOrder="1"/>
    </xf>
    <xf numFmtId="0" fontId="55" fillId="7" borderId="145" xfId="0" applyFont="1" applyFill="1" applyBorder="1" applyAlignment="1">
      <alignment horizontal="center" vertical="center" wrapText="1" readingOrder="1"/>
    </xf>
    <xf numFmtId="0" fontId="55" fillId="7" borderId="55" xfId="0" applyFont="1" applyFill="1" applyBorder="1" applyAlignment="1">
      <alignment horizontal="center" vertical="center" wrapText="1" readingOrder="1"/>
    </xf>
    <xf numFmtId="0" fontId="55" fillId="7" borderId="39" xfId="0" applyFont="1" applyFill="1" applyBorder="1" applyAlignment="1">
      <alignment horizontal="center" vertical="center" wrapText="1" readingOrder="1"/>
    </xf>
    <xf numFmtId="0" fontId="55" fillId="0" borderId="146" xfId="0" applyFont="1" applyBorder="1" applyAlignment="1">
      <alignment horizontal="center" vertical="center" wrapText="1" readingOrder="1"/>
    </xf>
    <xf numFmtId="0" fontId="55" fillId="3" borderId="146" xfId="0" applyFont="1" applyFill="1" applyBorder="1" applyAlignment="1">
      <alignment horizontal="center" vertical="center" wrapText="1" readingOrder="1"/>
    </xf>
    <xf numFmtId="0" fontId="55" fillId="0" borderId="147" xfId="0" applyFont="1" applyBorder="1" applyAlignment="1">
      <alignment horizontal="center" vertical="center" wrapText="1" readingOrder="1"/>
    </xf>
    <xf numFmtId="0" fontId="60" fillId="0" borderId="0" xfId="0" applyFont="1" applyAlignment="1">
      <alignment horizontal="left" vertical="center" wrapText="1" readingOrder="1"/>
    </xf>
    <xf numFmtId="43" fontId="55" fillId="0" borderId="0" xfId="13" applyFont="1" applyFill="1" applyBorder="1" applyAlignment="1">
      <alignment horizontal="center" vertical="center" wrapText="1" readingOrder="1"/>
    </xf>
    <xf numFmtId="9" fontId="75" fillId="7" borderId="81" xfId="0" applyNumberFormat="1" applyFont="1" applyFill="1" applyBorder="1" applyAlignment="1">
      <alignment horizontal="center" vertical="center" wrapText="1" readingOrder="1"/>
    </xf>
    <xf numFmtId="9" fontId="75" fillId="7" borderId="62" xfId="0" applyNumberFormat="1" applyFont="1" applyFill="1" applyBorder="1" applyAlignment="1">
      <alignment horizontal="center" vertical="center" wrapText="1" readingOrder="1"/>
    </xf>
    <xf numFmtId="9" fontId="75" fillId="7" borderId="124" xfId="0" applyNumberFormat="1" applyFont="1" applyFill="1" applyBorder="1" applyAlignment="1">
      <alignment horizontal="center" vertical="center" wrapText="1" readingOrder="1"/>
    </xf>
    <xf numFmtId="177" fontId="55" fillId="0" borderId="148" xfId="0" applyNumberFormat="1" applyFont="1" applyBorder="1" applyAlignment="1">
      <alignment horizontal="center" vertical="center" wrapText="1" readingOrder="1"/>
    </xf>
    <xf numFmtId="177" fontId="55" fillId="3" borderId="125" xfId="0" applyNumberFormat="1" applyFont="1" applyFill="1" applyBorder="1" applyAlignment="1">
      <alignment horizontal="center" vertical="center" wrapText="1" readingOrder="1"/>
    </xf>
    <xf numFmtId="177" fontId="55" fillId="0" borderId="149" xfId="0" applyNumberFormat="1" applyFont="1" applyBorder="1" applyAlignment="1">
      <alignment horizontal="center" vertical="center" wrapText="1" readingOrder="1"/>
    </xf>
    <xf numFmtId="177" fontId="55" fillId="0" borderId="150" xfId="0" applyNumberFormat="1" applyFont="1" applyBorder="1" applyAlignment="1">
      <alignment horizontal="center" vertical="center" wrapText="1" readingOrder="1"/>
    </xf>
    <xf numFmtId="177" fontId="55" fillId="0" borderId="62" xfId="0" applyNumberFormat="1" applyFont="1" applyBorder="1" applyAlignment="1">
      <alignment horizontal="center" vertical="center" wrapText="1" readingOrder="1"/>
    </xf>
    <xf numFmtId="177" fontId="54" fillId="0" borderId="36" xfId="0" applyNumberFormat="1" applyFont="1" applyBorder="1" applyAlignment="1">
      <alignment horizontal="center" vertical="center" wrapText="1" readingOrder="1"/>
    </xf>
    <xf numFmtId="177" fontId="54" fillId="0" borderId="58" xfId="0" applyNumberFormat="1" applyFont="1" applyBorder="1" applyAlignment="1">
      <alignment horizontal="center" vertical="center" wrapText="1" readingOrder="1"/>
    </xf>
    <xf numFmtId="177" fontId="55" fillId="0" borderId="36" xfId="0" applyNumberFormat="1" applyFont="1" applyBorder="1" applyAlignment="1">
      <alignment horizontal="center" vertical="center" wrapText="1" readingOrder="1"/>
    </xf>
    <xf numFmtId="177" fontId="55" fillId="0" borderId="58" xfId="0" applyNumberFormat="1" applyFont="1" applyBorder="1" applyAlignment="1">
      <alignment horizontal="center" vertical="center" wrapText="1" readingOrder="1"/>
    </xf>
    <xf numFmtId="9" fontId="74" fillId="0" borderId="36" xfId="0" applyNumberFormat="1" applyFont="1" applyBorder="1" applyAlignment="1">
      <alignment horizontal="center" vertical="center" wrapText="1" readingOrder="1"/>
    </xf>
    <xf numFmtId="9" fontId="74" fillId="0" borderId="58" xfId="0" applyNumberFormat="1" applyFont="1" applyBorder="1" applyAlignment="1">
      <alignment horizontal="center" vertical="center" wrapText="1" readingOrder="1"/>
    </xf>
    <xf numFmtId="0" fontId="55" fillId="0" borderId="151" xfId="0" applyFont="1" applyBorder="1" applyAlignment="1">
      <alignment horizontal="center" vertical="center" wrapText="1" readingOrder="1"/>
    </xf>
    <xf numFmtId="0" fontId="55" fillId="0" borderId="131" xfId="0" applyFont="1" applyBorder="1" applyAlignment="1">
      <alignment horizontal="center" vertical="center" wrapText="1" readingOrder="1"/>
    </xf>
    <xf numFmtId="0" fontId="55" fillId="0" borderId="152" xfId="0" applyFont="1" applyBorder="1" applyAlignment="1">
      <alignment horizontal="center" vertical="center" wrapText="1" readingOrder="1"/>
    </xf>
    <xf numFmtId="177" fontId="55" fillId="0" borderId="126" xfId="0" applyNumberFormat="1" applyFont="1" applyBorder="1" applyAlignment="1">
      <alignment horizontal="center" vertical="center" wrapText="1" readingOrder="1"/>
    </xf>
    <xf numFmtId="177" fontId="54" fillId="0" borderId="128" xfId="0" applyNumberFormat="1" applyFont="1" applyBorder="1" applyAlignment="1">
      <alignment horizontal="center" vertical="center" wrapText="1" readingOrder="1"/>
    </xf>
    <xf numFmtId="177" fontId="55" fillId="0" borderId="128" xfId="0" applyNumberFormat="1" applyFont="1" applyBorder="1" applyAlignment="1">
      <alignment horizontal="center" vertical="center" wrapText="1" readingOrder="1"/>
    </xf>
    <xf numFmtId="43" fontId="0" fillId="0" borderId="0" xfId="13" applyFont="1" applyAlignment="1">
      <alignment horizontal="center"/>
    </xf>
    <xf numFmtId="43" fontId="0" fillId="0" borderId="0" xfId="13" applyFont="1" applyBorder="1" applyAlignment="1">
      <alignment horizontal="center"/>
    </xf>
    <xf numFmtId="166" fontId="29" fillId="19" borderId="81" xfId="13" applyNumberFormat="1" applyFont="1" applyFill="1" applyBorder="1" applyAlignment="1">
      <alignment horizontal="center"/>
    </xf>
    <xf numFmtId="166" fontId="29" fillId="19" borderId="62" xfId="13" applyNumberFormat="1" applyFont="1" applyFill="1" applyBorder="1" applyAlignment="1">
      <alignment horizontal="center"/>
    </xf>
    <xf numFmtId="166" fontId="29" fillId="19" borderId="84" xfId="13" applyNumberFormat="1" applyFont="1" applyFill="1" applyBorder="1" applyAlignment="1">
      <alignment horizontal="center"/>
    </xf>
    <xf numFmtId="0" fontId="29" fillId="19" borderId="101" xfId="0" applyFont="1" applyFill="1" applyBorder="1"/>
    <xf numFmtId="166" fontId="77" fillId="0" borderId="153" xfId="13" applyNumberFormat="1" applyFont="1" applyBorder="1" applyAlignment="1">
      <alignment horizontal="center"/>
    </xf>
    <xf numFmtId="166" fontId="77" fillId="0" borderId="115" xfId="13" applyNumberFormat="1" applyFont="1" applyBorder="1" applyAlignment="1">
      <alignment horizontal="center"/>
    </xf>
    <xf numFmtId="166" fontId="77" fillId="0" borderId="154" xfId="13" applyNumberFormat="1" applyFont="1" applyBorder="1" applyAlignment="1">
      <alignment horizontal="center"/>
    </xf>
    <xf numFmtId="0" fontId="29" fillId="0" borderId="155" xfId="0" applyFont="1" applyBorder="1"/>
    <xf numFmtId="166" fontId="77" fillId="0" borderId="86" xfId="13" applyNumberFormat="1" applyFont="1" applyBorder="1" applyAlignment="1">
      <alignment horizontal="center"/>
    </xf>
    <xf numFmtId="166" fontId="77" fillId="0" borderId="0" xfId="13" applyNumberFormat="1" applyFont="1" applyBorder="1" applyAlignment="1">
      <alignment horizontal="center"/>
    </xf>
    <xf numFmtId="166" fontId="77" fillId="0" borderId="88" xfId="13" applyNumberFormat="1" applyFont="1" applyBorder="1" applyAlignment="1">
      <alignment horizontal="center"/>
    </xf>
    <xf numFmtId="0" fontId="29" fillId="0" borderId="102" xfId="0" applyFont="1" applyBorder="1"/>
    <xf numFmtId="0" fontId="29" fillId="0" borderId="100" xfId="0" applyFont="1" applyBorder="1"/>
    <xf numFmtId="0" fontId="78" fillId="14" borderId="65" xfId="0" quotePrefix="1" applyFont="1" applyFill="1" applyBorder="1" applyAlignment="1">
      <alignment horizontal="center"/>
    </xf>
    <xf numFmtId="0" fontId="78" fillId="14" borderId="73" xfId="0" quotePrefix="1" applyFont="1" applyFill="1" applyBorder="1" applyAlignment="1">
      <alignment horizontal="center"/>
    </xf>
    <xf numFmtId="0" fontId="78" fillId="14" borderId="73" xfId="0" applyFont="1" applyFill="1" applyBorder="1" applyAlignment="1">
      <alignment horizontal="center"/>
    </xf>
    <xf numFmtId="0" fontId="78" fillId="14" borderId="96" xfId="0" applyFont="1" applyFill="1" applyBorder="1" applyAlignment="1">
      <alignment horizontal="center"/>
    </xf>
    <xf numFmtId="0" fontId="78" fillId="14" borderId="59" xfId="0" applyFont="1" applyFill="1" applyBorder="1" applyAlignment="1">
      <alignment horizontal="left"/>
    </xf>
    <xf numFmtId="0" fontId="78" fillId="14" borderId="73" xfId="0" applyFont="1" applyFill="1" applyBorder="1" applyAlignment="1">
      <alignment horizontal="centerContinuous"/>
    </xf>
    <xf numFmtId="0" fontId="78" fillId="14" borderId="96" xfId="0" applyFont="1" applyFill="1" applyBorder="1" applyAlignment="1">
      <alignment horizontal="centerContinuous"/>
    </xf>
    <xf numFmtId="0" fontId="57" fillId="0" borderId="103" xfId="0" applyFont="1" applyBorder="1" applyAlignment="1">
      <alignment horizontal="center"/>
    </xf>
    <xf numFmtId="43" fontId="0" fillId="0" borderId="0" xfId="13" applyFont="1"/>
    <xf numFmtId="2" fontId="0" fillId="0" borderId="0" xfId="0" applyNumberFormat="1"/>
    <xf numFmtId="176" fontId="0" fillId="0" borderId="0" xfId="0" applyNumberFormat="1"/>
    <xf numFmtId="166" fontId="26" fillId="0" borderId="156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30" fillId="13" borderId="0" xfId="0" applyFont="1" applyFill="1"/>
    <xf numFmtId="166" fontId="26" fillId="23" borderId="156" xfId="0" applyNumberFormat="1" applyFont="1" applyFill="1" applyBorder="1" applyAlignment="1">
      <alignment horizontal="left"/>
    </xf>
    <xf numFmtId="166" fontId="26" fillId="15" borderId="156" xfId="0" applyNumberFormat="1" applyFont="1" applyFill="1" applyBorder="1" applyAlignment="1">
      <alignment horizontal="left"/>
    </xf>
    <xf numFmtId="0" fontId="0" fillId="0" borderId="115" xfId="0" applyBorder="1"/>
    <xf numFmtId="176" fontId="79" fillId="14" borderId="0" xfId="0" applyNumberFormat="1" applyFont="1" applyFill="1"/>
    <xf numFmtId="0" fontId="79" fillId="14" borderId="0" xfId="0" applyFont="1" applyFill="1"/>
    <xf numFmtId="172" fontId="76" fillId="0" borderId="0" xfId="0" applyNumberFormat="1" applyFont="1"/>
    <xf numFmtId="166" fontId="26" fillId="23" borderId="0" xfId="0" applyNumberFormat="1" applyFont="1" applyFill="1" applyAlignment="1">
      <alignment horizontal="left"/>
    </xf>
    <xf numFmtId="166" fontId="26" fillId="15" borderId="0" xfId="0" applyNumberFormat="1" applyFont="1" applyFill="1" applyAlignment="1">
      <alignment horizontal="left"/>
    </xf>
    <xf numFmtId="0" fontId="11" fillId="14" borderId="20" xfId="0" applyFont="1" applyFill="1" applyBorder="1" applyAlignment="1">
      <alignment horizontal="center" vertical="center" wrapText="1" readingOrder="1"/>
    </xf>
    <xf numFmtId="0" fontId="34" fillId="14" borderId="59" xfId="3" applyFont="1" applyFill="1" applyBorder="1" applyAlignment="1">
      <alignment horizontal="center" vertical="center" wrapText="1" readingOrder="1"/>
    </xf>
    <xf numFmtId="0" fontId="56" fillId="14" borderId="100" xfId="0" applyFont="1" applyFill="1" applyBorder="1" applyAlignment="1">
      <alignment horizontal="left" vertical="center" wrapText="1" readingOrder="1"/>
    </xf>
    <xf numFmtId="0" fontId="56" fillId="14" borderId="98" xfId="0" applyFont="1" applyFill="1" applyBorder="1" applyAlignment="1">
      <alignment horizontal="center" vertical="center" wrapText="1" readingOrder="1"/>
    </xf>
    <xf numFmtId="17" fontId="56" fillId="14" borderId="91" xfId="0" quotePrefix="1" applyNumberFormat="1" applyFont="1" applyFill="1" applyBorder="1" applyAlignment="1">
      <alignment horizontal="center" vertical="center" wrapText="1" readingOrder="1"/>
    </xf>
    <xf numFmtId="17" fontId="56" fillId="14" borderId="92" xfId="0" quotePrefix="1" applyNumberFormat="1" applyFont="1" applyFill="1" applyBorder="1" applyAlignment="1">
      <alignment horizontal="center" vertical="center" wrapText="1" readingOrder="1"/>
    </xf>
    <xf numFmtId="0" fontId="56" fillId="14" borderId="104" xfId="0" applyFont="1" applyFill="1" applyBorder="1" applyAlignment="1">
      <alignment horizontal="center" vertical="center" wrapText="1" readingOrder="1"/>
    </xf>
    <xf numFmtId="0" fontId="56" fillId="14" borderId="62" xfId="0" applyFont="1" applyFill="1" applyBorder="1" applyAlignment="1">
      <alignment horizontal="center" vertical="center" wrapText="1" readingOrder="1"/>
    </xf>
    <xf numFmtId="0" fontId="56" fillId="14" borderId="99" xfId="0" applyFont="1" applyFill="1" applyBorder="1" applyAlignment="1">
      <alignment horizontal="center" vertical="center" wrapText="1" readingOrder="1"/>
    </xf>
    <xf numFmtId="17" fontId="56" fillId="14" borderId="97" xfId="0" quotePrefix="1" applyNumberFormat="1" applyFont="1" applyFill="1" applyBorder="1" applyAlignment="1">
      <alignment horizontal="center" vertical="center" wrapText="1" readingOrder="1"/>
    </xf>
    <xf numFmtId="0" fontId="9" fillId="14" borderId="15" xfId="0" applyFont="1" applyFill="1" applyBorder="1" applyAlignment="1">
      <alignment horizontal="center" vertical="center" wrapText="1" readingOrder="1"/>
    </xf>
    <xf numFmtId="0" fontId="9" fillId="14" borderId="31" xfId="0" applyFont="1" applyFill="1" applyBorder="1" applyAlignment="1">
      <alignment horizontal="center" vertical="center" wrapText="1" readingOrder="1"/>
    </xf>
    <xf numFmtId="0" fontId="9" fillId="14" borderId="16" xfId="0" applyFont="1" applyFill="1" applyBorder="1" applyAlignment="1">
      <alignment horizontal="center" vertical="center" wrapText="1" readingOrder="1"/>
    </xf>
    <xf numFmtId="0" fontId="9" fillId="14" borderId="35" xfId="0" applyFont="1" applyFill="1" applyBorder="1" applyAlignment="1">
      <alignment horizontal="center" vertical="center" wrapText="1" readingOrder="1"/>
    </xf>
    <xf numFmtId="0" fontId="21" fillId="14" borderId="6" xfId="0" applyFont="1" applyFill="1" applyBorder="1" applyAlignment="1">
      <alignment horizontal="center" vertical="center" wrapText="1" readingOrder="1"/>
    </xf>
    <xf numFmtId="0" fontId="21" fillId="14" borderId="16" xfId="0" applyFont="1" applyFill="1" applyBorder="1" applyAlignment="1">
      <alignment horizontal="center" vertical="center" wrapText="1" readingOrder="1"/>
    </xf>
    <xf numFmtId="17" fontId="69" fillId="14" borderId="75" xfId="0" quotePrefix="1" applyNumberFormat="1" applyFont="1" applyFill="1" applyBorder="1" applyAlignment="1">
      <alignment horizontal="center" vertical="center" wrapText="1" readingOrder="1"/>
    </xf>
    <xf numFmtId="0" fontId="44" fillId="14" borderId="72" xfId="16" applyFont="1" applyFill="1" applyBorder="1" applyAlignment="1">
      <alignment horizontal="center" vertical="center"/>
    </xf>
    <xf numFmtId="0" fontId="44" fillId="14" borderId="75" xfId="15" applyFont="1" applyFill="1" applyBorder="1" applyAlignment="1" applyProtection="1">
      <alignment horizontal="centerContinuous" vertical="center"/>
      <protection locked="0"/>
    </xf>
    <xf numFmtId="0" fontId="44" fillId="14" borderId="70" xfId="15" applyFont="1" applyFill="1" applyBorder="1" applyAlignment="1" applyProtection="1">
      <alignment horizontal="centerContinuous" vertical="center"/>
      <protection locked="0"/>
    </xf>
    <xf numFmtId="169" fontId="44" fillId="14" borderId="70" xfId="16" applyNumberFormat="1" applyFont="1" applyFill="1" applyBorder="1" applyAlignment="1">
      <alignment horizontal="center" vertical="center"/>
    </xf>
    <xf numFmtId="0" fontId="44" fillId="14" borderId="76" xfId="15" applyFont="1" applyFill="1" applyBorder="1" applyAlignment="1" applyProtection="1">
      <alignment horizontal="centerContinuous" vertical="center"/>
      <protection locked="0"/>
    </xf>
    <xf numFmtId="0" fontId="44" fillId="14" borderId="77" xfId="15" applyFont="1" applyFill="1" applyBorder="1" applyAlignment="1" applyProtection="1">
      <alignment horizontal="centerContinuous" vertical="center"/>
      <protection locked="0"/>
    </xf>
    <xf numFmtId="0" fontId="48" fillId="14" borderId="0" xfId="0" applyFont="1" applyFill="1"/>
    <xf numFmtId="169" fontId="44" fillId="14" borderId="71" xfId="16" applyNumberFormat="1" applyFont="1" applyFill="1" applyBorder="1" applyAlignment="1">
      <alignment horizontal="center" vertical="center"/>
    </xf>
    <xf numFmtId="0" fontId="44" fillId="14" borderId="71" xfId="16" applyFont="1" applyFill="1" applyBorder="1" applyAlignment="1">
      <alignment horizontal="center" vertical="center"/>
    </xf>
    <xf numFmtId="0" fontId="8" fillId="14" borderId="18" xfId="0" applyFont="1" applyFill="1" applyBorder="1" applyAlignment="1">
      <alignment horizontal="center" vertical="center" wrapText="1" readingOrder="1"/>
    </xf>
    <xf numFmtId="0" fontId="24" fillId="14" borderId="14" xfId="0" applyFont="1" applyFill="1" applyBorder="1" applyAlignment="1">
      <alignment horizontal="center" wrapText="1" readingOrder="1"/>
    </xf>
    <xf numFmtId="0" fontId="24" fillId="14" borderId="16" xfId="0" applyFont="1" applyFill="1" applyBorder="1" applyAlignment="1">
      <alignment horizontal="center" wrapText="1" readingOrder="1"/>
    </xf>
    <xf numFmtId="0" fontId="24" fillId="14" borderId="53" xfId="0" applyFont="1" applyFill="1" applyBorder="1" applyAlignment="1">
      <alignment horizontal="center" wrapText="1" readingOrder="1"/>
    </xf>
    <xf numFmtId="0" fontId="24" fillId="14" borderId="14" xfId="0" applyFont="1" applyFill="1" applyBorder="1" applyAlignment="1">
      <alignment horizontal="left" wrapText="1" readingOrder="1"/>
    </xf>
    <xf numFmtId="0" fontId="24" fillId="14" borderId="53" xfId="0" applyFont="1" applyFill="1" applyBorder="1" applyAlignment="1">
      <alignment horizontal="left" wrapText="1" readingOrder="1"/>
    </xf>
    <xf numFmtId="181" fontId="0" fillId="0" borderId="0" xfId="0" applyNumberFormat="1"/>
    <xf numFmtId="0" fontId="0" fillId="0" borderId="60" xfId="0" applyBorder="1"/>
    <xf numFmtId="166" fontId="3" fillId="6" borderId="11" xfId="0" applyNumberFormat="1" applyFont="1" applyFill="1" applyBorder="1" applyAlignment="1">
      <alignment horizontal="center" wrapText="1" readingOrder="1"/>
    </xf>
    <xf numFmtId="166" fontId="3" fillId="6" borderId="12" xfId="0" applyNumberFormat="1" applyFont="1" applyFill="1" applyBorder="1" applyAlignment="1">
      <alignment horizontal="center" wrapText="1" readingOrder="1"/>
    </xf>
    <xf numFmtId="166" fontId="3" fillId="7" borderId="20" xfId="0" applyNumberFormat="1" applyFont="1" applyFill="1" applyBorder="1" applyAlignment="1">
      <alignment horizontal="center" wrapText="1" readingOrder="1"/>
    </xf>
    <xf numFmtId="166" fontId="3" fillId="7" borderId="5" xfId="0" applyNumberFormat="1" applyFont="1" applyFill="1" applyBorder="1" applyAlignment="1">
      <alignment horizontal="center" wrapText="1" readingOrder="1"/>
    </xf>
    <xf numFmtId="166" fontId="3" fillId="7" borderId="7" xfId="0" applyNumberFormat="1" applyFont="1" applyFill="1" applyBorder="1" applyAlignment="1">
      <alignment horizontal="center" wrapText="1" readingOrder="1"/>
    </xf>
    <xf numFmtId="166" fontId="5" fillId="0" borderId="7" xfId="0" applyNumberFormat="1" applyFont="1" applyBorder="1" applyAlignment="1">
      <alignment horizontal="center" wrapText="1" readingOrder="1"/>
    </xf>
    <xf numFmtId="0" fontId="3" fillId="5" borderId="9" xfId="0" applyFont="1" applyFill="1" applyBorder="1" applyAlignment="1">
      <alignment horizontal="center" wrapText="1" readingOrder="1"/>
    </xf>
    <xf numFmtId="0" fontId="3" fillId="5" borderId="4" xfId="0" applyFont="1" applyFill="1" applyBorder="1" applyAlignment="1">
      <alignment horizontal="center" wrapText="1" readingOrder="1"/>
    </xf>
    <xf numFmtId="0" fontId="3" fillId="5" borderId="10" xfId="0" applyFont="1" applyFill="1" applyBorder="1" applyAlignment="1">
      <alignment horizontal="center" wrapText="1" readingOrder="1"/>
    </xf>
    <xf numFmtId="0" fontId="12" fillId="0" borderId="157" xfId="0" applyFont="1" applyBorder="1" applyAlignment="1">
      <alignment horizontal="left" vertical="center" wrapText="1" readingOrder="1"/>
    </xf>
    <xf numFmtId="0" fontId="11" fillId="14" borderId="160" xfId="0" applyFont="1" applyFill="1" applyBorder="1" applyAlignment="1">
      <alignment horizontal="left" vertical="center" wrapText="1" readingOrder="1"/>
    </xf>
    <xf numFmtId="0" fontId="5" fillId="0" borderId="107" xfId="0" applyFont="1" applyBorder="1" applyAlignment="1">
      <alignment horizontal="left" wrapText="1" readingOrder="1"/>
    </xf>
    <xf numFmtId="0" fontId="5" fillId="7" borderId="107" xfId="0" applyFont="1" applyFill="1" applyBorder="1" applyAlignment="1">
      <alignment horizontal="left" wrapText="1" readingOrder="1"/>
    </xf>
    <xf numFmtId="0" fontId="3" fillId="7" borderId="106" xfId="0" applyFont="1" applyFill="1" applyBorder="1" applyAlignment="1">
      <alignment horizontal="left" wrapText="1" readingOrder="1"/>
    </xf>
    <xf numFmtId="0" fontId="3" fillId="7" borderId="107" xfId="0" applyFont="1" applyFill="1" applyBorder="1" applyAlignment="1">
      <alignment horizontal="left" wrapText="1" readingOrder="1"/>
    </xf>
    <xf numFmtId="0" fontId="11" fillId="14" borderId="70" xfId="0" applyFont="1" applyFill="1" applyBorder="1" applyAlignment="1">
      <alignment horizontal="center" vertical="center" wrapText="1" readingOrder="1"/>
    </xf>
    <xf numFmtId="0" fontId="11" fillId="14" borderId="69" xfId="0" applyFont="1" applyFill="1" applyBorder="1" applyAlignment="1">
      <alignment horizontal="center" vertical="center" wrapText="1" readingOrder="1"/>
    </xf>
    <xf numFmtId="0" fontId="11" fillId="14" borderId="71" xfId="0" applyFont="1" applyFill="1" applyBorder="1" applyAlignment="1">
      <alignment horizontal="center" vertical="center" wrapText="1" readingOrder="1"/>
    </xf>
    <xf numFmtId="166" fontId="27" fillId="0" borderId="59" xfId="3" applyNumberFormat="1" applyBorder="1"/>
    <xf numFmtId="0" fontId="13" fillId="0" borderId="0" xfId="0" applyFont="1" applyAlignment="1">
      <alignment horizontal="left" wrapText="1" readingOrder="1"/>
    </xf>
    <xf numFmtId="0" fontId="11" fillId="14" borderId="157" xfId="0" applyFont="1" applyFill="1" applyBorder="1" applyAlignment="1">
      <alignment horizontal="center" vertical="center" wrapText="1" readingOrder="1"/>
    </xf>
    <xf numFmtId="0" fontId="11" fillId="14" borderId="161" xfId="0" applyFont="1" applyFill="1" applyBorder="1" applyAlignment="1">
      <alignment horizontal="center" vertical="center" wrapText="1" readingOrder="1"/>
    </xf>
    <xf numFmtId="0" fontId="11" fillId="14" borderId="162" xfId="0" applyFont="1" applyFill="1" applyBorder="1" applyAlignment="1">
      <alignment horizontal="center" vertical="center" wrapText="1" readingOrder="1"/>
    </xf>
    <xf numFmtId="0" fontId="13" fillId="5" borderId="158" xfId="0" applyFont="1" applyFill="1" applyBorder="1" applyAlignment="1">
      <alignment horizontal="center" wrapText="1" readingOrder="1"/>
    </xf>
    <xf numFmtId="0" fontId="14" fillId="0" borderId="0" xfId="0" applyFont="1" applyAlignment="1">
      <alignment horizontal="left" wrapText="1" readingOrder="1"/>
    </xf>
    <xf numFmtId="166" fontId="13" fillId="7" borderId="159" xfId="0" applyNumberFormat="1" applyFont="1" applyFill="1" applyBorder="1" applyAlignment="1">
      <alignment horizontal="center" wrapText="1" readingOrder="1"/>
    </xf>
    <xf numFmtId="166" fontId="14" fillId="0" borderId="74" xfId="0" applyNumberFormat="1" applyFont="1" applyBorder="1" applyAlignment="1">
      <alignment horizontal="center" wrapText="1" readingOrder="1"/>
    </xf>
    <xf numFmtId="166" fontId="14" fillId="0" borderId="67" xfId="0" applyNumberFormat="1" applyFont="1" applyBorder="1" applyAlignment="1">
      <alignment horizontal="center" wrapText="1" readingOrder="1"/>
    </xf>
    <xf numFmtId="166" fontId="13" fillId="7" borderId="74" xfId="0" applyNumberFormat="1" applyFont="1" applyFill="1" applyBorder="1" applyAlignment="1">
      <alignment horizontal="center" wrapText="1" readingOrder="1"/>
    </xf>
    <xf numFmtId="166" fontId="13" fillId="6" borderId="163" xfId="0" applyNumberFormat="1" applyFont="1" applyFill="1" applyBorder="1" applyAlignment="1">
      <alignment horizontal="center" wrapText="1" readingOrder="1"/>
    </xf>
    <xf numFmtId="166" fontId="13" fillId="6" borderId="164" xfId="0" applyNumberFormat="1" applyFont="1" applyFill="1" applyBorder="1" applyAlignment="1">
      <alignment horizontal="center" wrapText="1" readingOrder="1"/>
    </xf>
    <xf numFmtId="166" fontId="13" fillId="7" borderId="114" xfId="0" applyNumberFormat="1" applyFont="1" applyFill="1" applyBorder="1" applyAlignment="1">
      <alignment horizontal="center" wrapText="1" readingOrder="1"/>
    </xf>
    <xf numFmtId="166" fontId="13" fillId="7" borderId="64" xfId="0" applyNumberFormat="1" applyFont="1" applyFill="1" applyBorder="1" applyAlignment="1">
      <alignment horizontal="center" wrapText="1" readingOrder="1"/>
    </xf>
    <xf numFmtId="166" fontId="14" fillId="0" borderId="64" xfId="0" applyNumberFormat="1" applyFont="1" applyBorder="1" applyAlignment="1">
      <alignment horizontal="center" wrapText="1" readingOrder="1"/>
    </xf>
    <xf numFmtId="166" fontId="14" fillId="0" borderId="68" xfId="0" applyNumberFormat="1" applyFont="1" applyBorder="1" applyAlignment="1">
      <alignment horizontal="center" wrapText="1" readingOrder="1"/>
    </xf>
    <xf numFmtId="166" fontId="14" fillId="0" borderId="20" xfId="0" applyNumberFormat="1" applyFont="1" applyBorder="1" applyAlignment="1">
      <alignment horizontal="center" wrapText="1" readingOrder="1"/>
    </xf>
    <xf numFmtId="166" fontId="14" fillId="0" borderId="7" xfId="0" applyNumberFormat="1" applyFont="1" applyBorder="1" applyAlignment="1">
      <alignment horizontal="center" wrapText="1" readingOrder="1"/>
    </xf>
    <xf numFmtId="166" fontId="14" fillId="0" borderId="105" xfId="0" applyNumberFormat="1" applyFont="1" applyBorder="1" applyAlignment="1">
      <alignment horizontal="center" wrapText="1" readingOrder="1"/>
    </xf>
    <xf numFmtId="166" fontId="13" fillId="6" borderId="165" xfId="0" applyNumberFormat="1" applyFont="1" applyFill="1" applyBorder="1" applyAlignment="1">
      <alignment horizontal="center" wrapText="1" readingOrder="1"/>
    </xf>
    <xf numFmtId="172" fontId="76" fillId="0" borderId="92" xfId="0" applyNumberFormat="1" applyFont="1" applyBorder="1"/>
    <xf numFmtId="172" fontId="76" fillId="0" borderId="115" xfId="0" applyNumberFormat="1" applyFont="1" applyBorder="1"/>
    <xf numFmtId="0" fontId="26" fillId="13" borderId="0" xfId="0" applyFont="1" applyFill="1"/>
    <xf numFmtId="0" fontId="0" fillId="13" borderId="0" xfId="0" applyFill="1" applyAlignment="1">
      <alignment horizontal="center"/>
    </xf>
    <xf numFmtId="0" fontId="56" fillId="14" borderId="20" xfId="0" applyFont="1" applyFill="1" applyBorder="1" applyAlignment="1">
      <alignment horizontal="left" vertical="center" wrapText="1" readingOrder="1"/>
    </xf>
    <xf numFmtId="0" fontId="56" fillId="14" borderId="5" xfId="0" applyFont="1" applyFill="1" applyBorder="1" applyAlignment="1">
      <alignment horizontal="centerContinuous" vertical="center" wrapText="1" readingOrder="1"/>
    </xf>
    <xf numFmtId="0" fontId="56" fillId="14" borderId="21" xfId="0" applyFont="1" applyFill="1" applyBorder="1" applyAlignment="1">
      <alignment horizontal="centerContinuous" vertical="center" wrapText="1" readingOrder="1"/>
    </xf>
    <xf numFmtId="0" fontId="56" fillId="14" borderId="20" xfId="0" applyFont="1" applyFill="1" applyBorder="1" applyAlignment="1">
      <alignment horizontal="centerContinuous" vertical="center" wrapText="1" readingOrder="1"/>
    </xf>
    <xf numFmtId="0" fontId="48" fillId="0" borderId="0" xfId="0" applyFont="1" applyAlignment="1">
      <alignment horizontal="center" vertical="center"/>
    </xf>
    <xf numFmtId="177" fontId="55" fillId="11" borderId="128" xfId="0" applyNumberFormat="1" applyFont="1" applyFill="1" applyBorder="1" applyAlignment="1">
      <alignment horizontal="center" vertical="center" wrapText="1" readingOrder="1"/>
    </xf>
    <xf numFmtId="0" fontId="75" fillId="0" borderId="72" xfId="0" applyFont="1" applyBorder="1" applyAlignment="1">
      <alignment horizontal="left" vertical="center" wrapText="1" readingOrder="1"/>
    </xf>
    <xf numFmtId="0" fontId="54" fillId="0" borderId="64" xfId="0" applyFont="1" applyBorder="1" applyAlignment="1">
      <alignment horizontal="left" vertical="center" wrapText="1" readingOrder="1"/>
    </xf>
    <xf numFmtId="0" fontId="55" fillId="0" borderId="64" xfId="0" applyFont="1" applyBorder="1" applyAlignment="1">
      <alignment horizontal="left" vertical="center" wrapText="1" readingOrder="1"/>
    </xf>
    <xf numFmtId="0" fontId="54" fillId="0" borderId="64" xfId="0" applyFont="1" applyBorder="1" applyAlignment="1">
      <alignment horizontal="left" vertical="center" wrapText="1" indent="1" readingOrder="1"/>
    </xf>
    <xf numFmtId="0" fontId="54" fillId="0" borderId="68" xfId="0" applyFont="1" applyBorder="1" applyAlignment="1">
      <alignment horizontal="left" vertical="center" wrapText="1" indent="1" readingOrder="1"/>
    </xf>
    <xf numFmtId="177" fontId="55" fillId="11" borderId="70" xfId="0" applyNumberFormat="1" applyFont="1" applyFill="1" applyBorder="1" applyAlignment="1">
      <alignment horizontal="center" vertical="center" wrapText="1" readingOrder="1"/>
    </xf>
    <xf numFmtId="177" fontId="55" fillId="11" borderId="0" xfId="0" applyNumberFormat="1" applyFont="1" applyFill="1" applyAlignment="1">
      <alignment horizontal="center" vertical="center" wrapText="1" readingOrder="1"/>
    </xf>
    <xf numFmtId="177" fontId="55" fillId="15" borderId="70" xfId="0" applyNumberFormat="1" applyFont="1" applyFill="1" applyBorder="1" applyAlignment="1">
      <alignment horizontal="center" vertical="center" wrapText="1" readingOrder="1"/>
    </xf>
    <xf numFmtId="177" fontId="55" fillId="15" borderId="0" xfId="0" applyNumberFormat="1" applyFont="1" applyFill="1" applyAlignment="1">
      <alignment horizontal="center" vertical="center" wrapText="1" readingOrder="1"/>
    </xf>
    <xf numFmtId="177" fontId="55" fillId="11" borderId="169" xfId="0" applyNumberFormat="1" applyFont="1" applyFill="1" applyBorder="1" applyAlignment="1">
      <alignment horizontal="center" vertical="center" wrapText="1" readingOrder="1"/>
    </xf>
    <xf numFmtId="177" fontId="55" fillId="3" borderId="167" xfId="0" applyNumberFormat="1" applyFont="1" applyFill="1" applyBorder="1" applyAlignment="1">
      <alignment horizontal="center" vertical="center" wrapText="1" readingOrder="1"/>
    </xf>
    <xf numFmtId="177" fontId="55" fillId="15" borderId="69" xfId="0" applyNumberFormat="1" applyFont="1" applyFill="1" applyBorder="1" applyAlignment="1">
      <alignment horizontal="center" vertical="center" wrapText="1" readingOrder="1"/>
    </xf>
    <xf numFmtId="177" fontId="55" fillId="15" borderId="63" xfId="0" applyNumberFormat="1" applyFont="1" applyFill="1" applyBorder="1" applyAlignment="1">
      <alignment horizontal="center" vertical="center" wrapText="1" readingOrder="1"/>
    </xf>
    <xf numFmtId="177" fontId="55" fillId="11" borderId="170" xfId="0" applyNumberFormat="1" applyFont="1" applyFill="1" applyBorder="1" applyAlignment="1">
      <alignment horizontal="center" vertical="center" wrapText="1" readingOrder="1"/>
    </xf>
    <xf numFmtId="177" fontId="55" fillId="11" borderId="171" xfId="0" applyNumberFormat="1" applyFont="1" applyFill="1" applyBorder="1" applyAlignment="1">
      <alignment horizontal="center" vertical="center" wrapText="1" readingOrder="1"/>
    </xf>
    <xf numFmtId="177" fontId="54" fillId="11" borderId="128" xfId="0" applyNumberFormat="1" applyFont="1" applyFill="1" applyBorder="1" applyAlignment="1">
      <alignment horizontal="center" vertical="center" wrapText="1" readingOrder="1"/>
    </xf>
    <xf numFmtId="177" fontId="54" fillId="11" borderId="0" xfId="0" applyNumberFormat="1" applyFont="1" applyFill="1" applyAlignment="1">
      <alignment horizontal="center" vertical="center" wrapText="1" readingOrder="1"/>
    </xf>
    <xf numFmtId="177" fontId="54" fillId="15" borderId="0" xfId="0" applyNumberFormat="1" applyFont="1" applyFill="1" applyAlignment="1">
      <alignment horizontal="center" vertical="center" wrapText="1" readingOrder="1"/>
    </xf>
    <xf numFmtId="177" fontId="54" fillId="15" borderId="63" xfId="0" applyNumberFormat="1" applyFont="1" applyFill="1" applyBorder="1" applyAlignment="1">
      <alignment horizontal="center" vertical="center" wrapText="1" readingOrder="1"/>
    </xf>
    <xf numFmtId="177" fontId="54" fillId="11" borderId="171" xfId="0" applyNumberFormat="1" applyFont="1" applyFill="1" applyBorder="1" applyAlignment="1">
      <alignment horizontal="center" vertical="center" wrapText="1" readingOrder="1"/>
    </xf>
    <xf numFmtId="177" fontId="54" fillId="11" borderId="168" xfId="0" applyNumberFormat="1" applyFont="1" applyFill="1" applyBorder="1" applyAlignment="1">
      <alignment horizontal="center" vertical="center" wrapText="1" readingOrder="1"/>
    </xf>
    <xf numFmtId="177" fontId="54" fillId="3" borderId="166" xfId="0" applyNumberFormat="1" applyFont="1" applyFill="1" applyBorder="1" applyAlignment="1">
      <alignment horizontal="center" vertical="center" wrapText="1" readingOrder="1"/>
    </xf>
    <xf numFmtId="177" fontId="54" fillId="11" borderId="60" xfId="0" applyNumberFormat="1" applyFont="1" applyFill="1" applyBorder="1" applyAlignment="1">
      <alignment horizontal="center" vertical="center" wrapText="1" readingOrder="1"/>
    </xf>
    <xf numFmtId="177" fontId="54" fillId="15" borderId="60" xfId="0" applyNumberFormat="1" applyFont="1" applyFill="1" applyBorder="1" applyAlignment="1">
      <alignment horizontal="center" vertical="center" wrapText="1" readingOrder="1"/>
    </xf>
    <xf numFmtId="177" fontId="54" fillId="15" borderId="66" xfId="0" applyNumberFormat="1" applyFont="1" applyFill="1" applyBorder="1" applyAlignment="1">
      <alignment horizontal="center" vertical="center" wrapText="1" readingOrder="1"/>
    </xf>
    <xf numFmtId="177" fontId="54" fillId="11" borderId="172" xfId="0" applyNumberFormat="1" applyFont="1" applyFill="1" applyBorder="1" applyAlignment="1">
      <alignment horizontal="center" vertical="center" wrapText="1" readingOrder="1"/>
    </xf>
    <xf numFmtId="0" fontId="26" fillId="24" borderId="0" xfId="0" applyFont="1" applyFill="1" applyAlignment="1">
      <alignment horizontal="center"/>
    </xf>
    <xf numFmtId="0" fontId="49" fillId="15" borderId="121" xfId="0" applyFont="1" applyFill="1" applyBorder="1" applyAlignment="1">
      <alignment horizontal="center" vertical="center"/>
    </xf>
    <xf numFmtId="0" fontId="55" fillId="13" borderId="173" xfId="0" applyFont="1" applyFill="1" applyBorder="1" applyAlignment="1">
      <alignment horizontal="center" vertical="center" wrapText="1" readingOrder="1"/>
    </xf>
    <xf numFmtId="172" fontId="5" fillId="8" borderId="7" xfId="0" applyNumberFormat="1" applyFont="1" applyFill="1" applyBorder="1" applyAlignment="1">
      <alignment horizontal="center" vertical="center" wrapText="1" readingOrder="1"/>
    </xf>
    <xf numFmtId="172" fontId="5" fillId="8" borderId="74" xfId="0" applyNumberFormat="1" applyFont="1" applyFill="1" applyBorder="1" applyAlignment="1">
      <alignment horizontal="center" vertical="center" wrapText="1" readingOrder="1"/>
    </xf>
    <xf numFmtId="172" fontId="5" fillId="8" borderId="0" xfId="0" applyNumberFormat="1" applyFont="1" applyFill="1" applyAlignment="1">
      <alignment horizontal="center" vertical="center" wrapText="1" readingOrder="1"/>
    </xf>
    <xf numFmtId="172" fontId="5" fillId="8" borderId="63" xfId="0" applyNumberFormat="1" applyFont="1" applyFill="1" applyBorder="1" applyAlignment="1">
      <alignment horizontal="center" vertical="center" wrapText="1" readingOrder="1"/>
    </xf>
    <xf numFmtId="172" fontId="5" fillId="7" borderId="7" xfId="0" applyNumberFormat="1" applyFont="1" applyFill="1" applyBorder="1" applyAlignment="1">
      <alignment horizontal="center" vertical="center" wrapText="1" readingOrder="1"/>
    </xf>
    <xf numFmtId="172" fontId="5" fillId="7" borderId="74" xfId="0" applyNumberFormat="1" applyFont="1" applyFill="1" applyBorder="1" applyAlignment="1">
      <alignment horizontal="center" vertical="center" wrapText="1" readingOrder="1"/>
    </xf>
    <xf numFmtId="172" fontId="5" fillId="7" borderId="0" xfId="0" applyNumberFormat="1" applyFont="1" applyFill="1" applyAlignment="1">
      <alignment horizontal="center" vertical="center" wrapText="1" readingOrder="1"/>
    </xf>
    <xf numFmtId="172" fontId="5" fillId="7" borderId="63" xfId="0" applyNumberFormat="1" applyFont="1" applyFill="1" applyBorder="1" applyAlignment="1">
      <alignment horizontal="center" vertical="center" wrapText="1" readingOrder="1"/>
    </xf>
    <xf numFmtId="172" fontId="3" fillId="7" borderId="7" xfId="0" applyNumberFormat="1" applyFont="1" applyFill="1" applyBorder="1" applyAlignment="1">
      <alignment horizontal="center" vertical="center" wrapText="1" readingOrder="1"/>
    </xf>
    <xf numFmtId="172" fontId="3" fillId="7" borderId="74" xfId="0" applyNumberFormat="1" applyFont="1" applyFill="1" applyBorder="1" applyAlignment="1">
      <alignment horizontal="center" vertical="center" wrapText="1" readingOrder="1"/>
    </xf>
    <xf numFmtId="172" fontId="3" fillId="7" borderId="0" xfId="0" applyNumberFormat="1" applyFont="1" applyFill="1" applyAlignment="1">
      <alignment horizontal="center" vertical="center" wrapText="1" readingOrder="1"/>
    </xf>
    <xf numFmtId="172" fontId="3" fillId="7" borderId="63" xfId="0" applyNumberFormat="1" applyFont="1" applyFill="1" applyBorder="1" applyAlignment="1">
      <alignment horizontal="center" vertical="center" wrapText="1" readingOrder="1"/>
    </xf>
    <xf numFmtId="172" fontId="3" fillId="7" borderId="105" xfId="0" applyNumberFormat="1" applyFont="1" applyFill="1" applyBorder="1" applyAlignment="1">
      <alignment horizontal="center" vertical="center" wrapText="1" readingOrder="1"/>
    </xf>
    <xf numFmtId="172" fontId="3" fillId="7" borderId="67" xfId="0" applyNumberFormat="1" applyFont="1" applyFill="1" applyBorder="1" applyAlignment="1">
      <alignment horizontal="center" vertical="center" wrapText="1" readingOrder="1"/>
    </xf>
    <xf numFmtId="172" fontId="3" fillId="7" borderId="60" xfId="0" applyNumberFormat="1" applyFont="1" applyFill="1" applyBorder="1" applyAlignment="1">
      <alignment horizontal="center" vertical="center" wrapText="1" readingOrder="1"/>
    </xf>
    <xf numFmtId="172" fontId="3" fillId="7" borderId="66" xfId="0" applyNumberFormat="1" applyFont="1" applyFill="1" applyBorder="1" applyAlignment="1">
      <alignment horizontal="center" vertical="center" wrapText="1" readingOrder="1"/>
    </xf>
    <xf numFmtId="0" fontId="49" fillId="15" borderId="122" xfId="0" applyFont="1" applyFill="1" applyBorder="1" applyAlignment="1">
      <alignment horizontal="center" vertical="center"/>
    </xf>
    <xf numFmtId="177" fontId="55" fillId="0" borderId="84" xfId="0" applyNumberFormat="1" applyFont="1" applyBorder="1" applyAlignment="1">
      <alignment horizontal="center" vertical="center" wrapText="1" readingOrder="1"/>
    </xf>
    <xf numFmtId="170" fontId="80" fillId="0" borderId="66" xfId="0" applyNumberFormat="1" applyFont="1" applyBorder="1" applyAlignment="1">
      <alignment horizontal="center" vertical="center" wrapText="1" readingOrder="1"/>
    </xf>
    <xf numFmtId="170" fontId="80" fillId="0" borderId="63" xfId="0" applyNumberFormat="1" applyFont="1" applyBorder="1" applyAlignment="1">
      <alignment horizontal="center" vertical="center" wrapText="1" readingOrder="1"/>
    </xf>
    <xf numFmtId="170" fontId="80" fillId="0" borderId="69" xfId="0" applyNumberFormat="1" applyFont="1" applyBorder="1" applyAlignment="1">
      <alignment horizontal="center" vertical="center" wrapText="1" readingOrder="1"/>
    </xf>
    <xf numFmtId="170" fontId="81" fillId="25" borderId="183" xfId="0" applyNumberFormat="1" applyFont="1" applyFill="1" applyBorder="1" applyAlignment="1">
      <alignment horizontal="center" vertical="center" wrapText="1" readingOrder="1"/>
    </xf>
    <xf numFmtId="9" fontId="81" fillId="25" borderId="183" xfId="1" applyFont="1" applyFill="1" applyBorder="1" applyAlignment="1">
      <alignment horizontal="center" vertical="center" wrapText="1" readingOrder="1"/>
    </xf>
    <xf numFmtId="169" fontId="82" fillId="14" borderId="184" xfId="0" applyNumberFormat="1" applyFont="1" applyFill="1" applyBorder="1" applyAlignment="1">
      <alignment horizontal="center" vertical="center" wrapText="1" readingOrder="1"/>
    </xf>
    <xf numFmtId="169" fontId="82" fillId="14" borderId="185" xfId="0" applyNumberFormat="1" applyFont="1" applyFill="1" applyBorder="1" applyAlignment="1">
      <alignment horizontal="center" vertical="center" wrapText="1" readingOrder="1"/>
    </xf>
    <xf numFmtId="0" fontId="0" fillId="15" borderId="0" xfId="0" applyFill="1"/>
    <xf numFmtId="0" fontId="26" fillId="15" borderId="0" xfId="0" applyFont="1" applyFill="1"/>
    <xf numFmtId="170" fontId="81" fillId="0" borderId="81" xfId="0" applyNumberFormat="1" applyFont="1" applyBorder="1" applyAlignment="1">
      <alignment horizontal="center" vertical="center" wrapText="1" readingOrder="1"/>
    </xf>
    <xf numFmtId="170" fontId="81" fillId="0" borderId="62" xfId="0" applyNumberFormat="1" applyFont="1" applyBorder="1" applyAlignment="1">
      <alignment horizontal="center" vertical="center" wrapText="1" readingOrder="1"/>
    </xf>
    <xf numFmtId="0" fontId="4" fillId="0" borderId="84" xfId="0" applyFont="1" applyBorder="1" applyAlignment="1">
      <alignment horizontal="left" vertical="center" wrapText="1" readingOrder="1"/>
    </xf>
    <xf numFmtId="0" fontId="4" fillId="25" borderId="187" xfId="0" applyFont="1" applyFill="1" applyBorder="1" applyAlignment="1">
      <alignment horizontal="left" vertical="center" wrapText="1" readingOrder="1"/>
    </xf>
    <xf numFmtId="0" fontId="82" fillId="14" borderId="188" xfId="0" applyFont="1" applyFill="1" applyBorder="1" applyAlignment="1">
      <alignment horizontal="center" vertical="center" wrapText="1" readingOrder="1"/>
    </xf>
    <xf numFmtId="0" fontId="83" fillId="0" borderId="0" xfId="0" applyFont="1"/>
    <xf numFmtId="0" fontId="84" fillId="0" borderId="0" xfId="0" applyFont="1" applyAlignment="1">
      <alignment vertical="center"/>
    </xf>
    <xf numFmtId="170" fontId="4" fillId="0" borderId="86" xfId="0" applyNumberFormat="1" applyFont="1" applyBorder="1" applyAlignment="1">
      <alignment horizontal="center" vertical="center" wrapText="1" readingOrder="1"/>
    </xf>
    <xf numFmtId="170" fontId="4" fillId="0" borderId="0" xfId="0" applyNumberFormat="1" applyFont="1" applyAlignment="1">
      <alignment horizontal="center" vertical="center" wrapText="1" readingOrder="1"/>
    </xf>
    <xf numFmtId="0" fontId="4" fillId="0" borderId="88" xfId="0" applyFont="1" applyBorder="1" applyAlignment="1">
      <alignment horizontal="left" vertical="center" wrapText="1" readingOrder="1"/>
    </xf>
    <xf numFmtId="170" fontId="4" fillId="0" borderId="190" xfId="0" applyNumberFormat="1" applyFont="1" applyBorder="1" applyAlignment="1">
      <alignment horizontal="center" vertical="center" wrapText="1" readingOrder="1"/>
    </xf>
    <xf numFmtId="182" fontId="12" fillId="0" borderId="86" xfId="0" applyNumberFormat="1" applyFont="1" applyBorder="1" applyAlignment="1">
      <alignment horizontal="center" vertical="center" wrapText="1" readingOrder="1"/>
    </xf>
    <xf numFmtId="182" fontId="12" fillId="0" borderId="0" xfId="0" applyNumberFormat="1" applyFont="1" applyAlignment="1">
      <alignment horizontal="center" vertical="center" wrapText="1" readingOrder="1"/>
    </xf>
    <xf numFmtId="170" fontId="85" fillId="7" borderId="86" xfId="0" applyNumberFormat="1" applyFont="1" applyFill="1" applyBorder="1" applyAlignment="1">
      <alignment horizontal="center" vertical="center" wrapText="1" readingOrder="1"/>
    </xf>
    <xf numFmtId="170" fontId="85" fillId="7" borderId="0" xfId="0" applyNumberFormat="1" applyFont="1" applyFill="1" applyAlignment="1">
      <alignment horizontal="center" vertical="center" wrapText="1" readingOrder="1"/>
    </xf>
    <xf numFmtId="170" fontId="85" fillId="7" borderId="190" xfId="0" applyNumberFormat="1" applyFont="1" applyFill="1" applyBorder="1" applyAlignment="1">
      <alignment horizontal="center" vertical="center" wrapText="1" readingOrder="1"/>
    </xf>
    <xf numFmtId="0" fontId="85" fillId="7" borderId="88" xfId="0" applyFont="1" applyFill="1" applyBorder="1" applyAlignment="1">
      <alignment horizontal="left" vertical="center" wrapText="1" readingOrder="1"/>
    </xf>
    <xf numFmtId="0" fontId="86" fillId="14" borderId="91" xfId="0" applyFont="1" applyFill="1" applyBorder="1" applyAlignment="1">
      <alignment horizontal="center" vertical="center" wrapText="1" readingOrder="1"/>
    </xf>
    <xf numFmtId="0" fontId="86" fillId="14" borderId="92" xfId="0" applyFont="1" applyFill="1" applyBorder="1" applyAlignment="1">
      <alignment horizontal="center" vertical="center" wrapText="1" readingOrder="1"/>
    </xf>
    <xf numFmtId="0" fontId="86" fillId="14" borderId="191" xfId="0" applyFont="1" applyFill="1" applyBorder="1" applyAlignment="1">
      <alignment horizontal="center" vertical="center" wrapText="1" readingOrder="1"/>
    </xf>
    <xf numFmtId="0" fontId="86" fillId="14" borderId="86" xfId="0" applyFont="1" applyFill="1" applyBorder="1" applyAlignment="1">
      <alignment horizontal="center" vertical="center" wrapText="1" readingOrder="1"/>
    </xf>
    <xf numFmtId="0" fontId="86" fillId="14" borderId="0" xfId="0" applyFont="1" applyFill="1" applyAlignment="1">
      <alignment horizontal="center" vertical="center" wrapText="1" readingOrder="1"/>
    </xf>
    <xf numFmtId="0" fontId="86" fillId="14" borderId="190" xfId="0" applyFont="1" applyFill="1" applyBorder="1" applyAlignment="1">
      <alignment horizontal="center" vertical="center" wrapText="1" readingOrder="1"/>
    </xf>
    <xf numFmtId="0" fontId="86" fillId="14" borderId="88" xfId="0" applyFont="1" applyFill="1" applyBorder="1" applyAlignment="1">
      <alignment vertical="center" wrapText="1" readingOrder="1"/>
    </xf>
    <xf numFmtId="170" fontId="32" fillId="0" borderId="180" xfId="26" applyNumberFormat="1" applyBorder="1" applyAlignment="1">
      <alignment horizontal="center"/>
    </xf>
    <xf numFmtId="170" fontId="32" fillId="0" borderId="181" xfId="26" applyNumberFormat="1" applyBorder="1" applyAlignment="1">
      <alignment horizontal="center"/>
    </xf>
    <xf numFmtId="0" fontId="32" fillId="0" borderId="181" xfId="26" applyNumberFormat="1" applyBorder="1" applyAlignment="1">
      <alignment horizontal="right"/>
    </xf>
    <xf numFmtId="0" fontId="32" fillId="0" borderId="182" xfId="26" applyNumberFormat="1" applyBorder="1" applyAlignment="1">
      <alignment horizontal="center"/>
    </xf>
    <xf numFmtId="170" fontId="32" fillId="0" borderId="193" xfId="26" applyNumberFormat="1" applyBorder="1" applyAlignment="1">
      <alignment horizontal="center"/>
    </xf>
    <xf numFmtId="170" fontId="32" fillId="0" borderId="0" xfId="26" applyNumberFormat="1" applyBorder="1" applyAlignment="1">
      <alignment horizontal="center"/>
    </xf>
    <xf numFmtId="0" fontId="32" fillId="0" borderId="0" xfId="26" applyNumberFormat="1" applyBorder="1" applyAlignment="1">
      <alignment horizontal="right"/>
    </xf>
    <xf numFmtId="0" fontId="32" fillId="0" borderId="194" xfId="26" applyNumberFormat="1" applyBorder="1" applyAlignment="1">
      <alignment horizontal="center"/>
    </xf>
    <xf numFmtId="0" fontId="32" fillId="0" borderId="193" xfId="26" applyNumberFormat="1" applyBorder="1" applyAlignment="1">
      <alignment horizontal="right"/>
    </xf>
    <xf numFmtId="0" fontId="32" fillId="0" borderId="0" xfId="26" applyNumberFormat="1" applyBorder="1" applyAlignment="1">
      <alignment horizontal="left"/>
    </xf>
    <xf numFmtId="0" fontId="32" fillId="0" borderId="194" xfId="26" applyNumberFormat="1" applyBorder="1" applyAlignment="1">
      <alignment horizontal="right"/>
    </xf>
    <xf numFmtId="14" fontId="32" fillId="0" borderId="195" xfId="26" applyNumberFormat="1" applyBorder="1" applyAlignment="1">
      <alignment horizontal="center"/>
    </xf>
    <xf numFmtId="14" fontId="32" fillId="0" borderId="196" xfId="26" applyNumberFormat="1" applyBorder="1" applyAlignment="1">
      <alignment horizontal="center"/>
    </xf>
    <xf numFmtId="0" fontId="32" fillId="0" borderId="196" xfId="26" applyNumberFormat="1" applyBorder="1" applyAlignment="1">
      <alignment horizontal="center" vertical="top"/>
    </xf>
    <xf numFmtId="0" fontId="32" fillId="0" borderId="197" xfId="26" applyNumberFormat="1" applyBorder="1" applyAlignment="1">
      <alignment horizontal="left"/>
    </xf>
    <xf numFmtId="0" fontId="0" fillId="13" borderId="0" xfId="0" applyFill="1"/>
    <xf numFmtId="0" fontId="0" fillId="20" borderId="0" xfId="0" applyFill="1"/>
    <xf numFmtId="0" fontId="35" fillId="20" borderId="0" xfId="0" applyFont="1" applyFill="1"/>
    <xf numFmtId="170" fontId="32" fillId="0" borderId="0" xfId="26" applyNumberFormat="1" applyFont="1" applyBorder="1" applyAlignment="1">
      <alignment horizontal="center"/>
    </xf>
    <xf numFmtId="170" fontId="32" fillId="0" borderId="193" xfId="26" applyNumberFormat="1" applyFont="1" applyBorder="1" applyAlignment="1">
      <alignment horizontal="center"/>
    </xf>
    <xf numFmtId="170" fontId="81" fillId="25" borderId="186" xfId="0" applyNumberFormat="1" applyFont="1" applyFill="1" applyBorder="1" applyAlignment="1">
      <alignment horizontal="center" vertical="center" wrapText="1" readingOrder="1"/>
    </xf>
    <xf numFmtId="9" fontId="81" fillId="25" borderId="186" xfId="1" applyFont="1" applyFill="1" applyBorder="1" applyAlignment="1">
      <alignment horizontal="center" vertical="center" wrapText="1" readingOrder="1"/>
    </xf>
    <xf numFmtId="9" fontId="81" fillId="0" borderId="62" xfId="1" applyFont="1" applyBorder="1" applyAlignment="1">
      <alignment horizontal="center" vertical="center" wrapText="1" readingOrder="1"/>
    </xf>
    <xf numFmtId="9" fontId="81" fillId="0" borderId="81" xfId="1" applyFont="1" applyBorder="1" applyAlignment="1">
      <alignment horizontal="center" vertical="center" wrapText="1" readingOrder="1"/>
    </xf>
    <xf numFmtId="166" fontId="26" fillId="28" borderId="66" xfId="0" applyNumberFormat="1" applyFont="1" applyFill="1" applyBorder="1" applyAlignment="1">
      <alignment horizontal="center"/>
    </xf>
    <xf numFmtId="166" fontId="26" fillId="28" borderId="60" xfId="0" applyNumberFormat="1" applyFont="1" applyFill="1" applyBorder="1" applyAlignment="1">
      <alignment horizontal="center"/>
    </xf>
    <xf numFmtId="166" fontId="26" fillId="28" borderId="67" xfId="0" applyNumberFormat="1" applyFont="1" applyFill="1" applyBorder="1" applyAlignment="1">
      <alignment horizontal="center"/>
    </xf>
    <xf numFmtId="166" fontId="27" fillId="26" borderId="68" xfId="27" applyNumberFormat="1" applyFont="1" applyFill="1" applyBorder="1" applyAlignment="1">
      <alignment horizontal="center"/>
    </xf>
    <xf numFmtId="166" fontId="0" fillId="0" borderId="117" xfId="22" applyNumberFormat="1" applyFont="1" applyFill="1" applyBorder="1" applyAlignment="1" applyProtection="1">
      <alignment horizontal="center" vertical="center"/>
      <protection locked="0"/>
    </xf>
    <xf numFmtId="0" fontId="0" fillId="0" borderId="67" xfId="0" applyBorder="1"/>
    <xf numFmtId="166" fontId="27" fillId="26" borderId="64" xfId="27" applyNumberFormat="1" applyFont="1" applyFill="1" applyBorder="1" applyAlignment="1">
      <alignment horizontal="center"/>
    </xf>
    <xf numFmtId="166" fontId="0" fillId="0" borderId="119" xfId="22" applyNumberFormat="1" applyFont="1" applyFill="1" applyBorder="1" applyAlignment="1" applyProtection="1">
      <alignment horizontal="center" vertical="center"/>
      <protection locked="0"/>
    </xf>
    <xf numFmtId="169" fontId="35" fillId="31" borderId="78" xfId="16" applyNumberFormat="1" applyFont="1" applyFill="1" applyBorder="1" applyAlignment="1">
      <alignment horizontal="center" vertical="center" wrapText="1"/>
    </xf>
    <xf numFmtId="169" fontId="35" fillId="31" borderId="76" xfId="16" applyNumberFormat="1" applyFont="1" applyFill="1" applyBorder="1" applyAlignment="1">
      <alignment horizontal="center" vertical="center" wrapText="1"/>
    </xf>
    <xf numFmtId="1" fontId="35" fillId="32" borderId="76" xfId="16" applyNumberFormat="1" applyFont="1" applyFill="1" applyBorder="1" applyAlignment="1">
      <alignment horizontal="center" vertical="center"/>
    </xf>
    <xf numFmtId="166" fontId="26" fillId="28" borderId="68" xfId="0" applyNumberFormat="1" applyFont="1" applyFill="1" applyBorder="1" applyAlignment="1">
      <alignment horizontal="center"/>
    </xf>
    <xf numFmtId="10" fontId="26" fillId="28" borderId="68" xfId="1" applyNumberFormat="1" applyFont="1" applyFill="1" applyBorder="1" applyAlignment="1">
      <alignment horizontal="center"/>
    </xf>
    <xf numFmtId="0" fontId="0" fillId="28" borderId="66" xfId="0" applyFill="1" applyBorder="1"/>
    <xf numFmtId="0" fontId="0" fillId="28" borderId="60" xfId="0" applyFill="1" applyBorder="1"/>
    <xf numFmtId="0" fontId="26" fillId="28" borderId="67" xfId="0" applyFont="1" applyFill="1" applyBorder="1" applyAlignment="1">
      <alignment horizontal="left" indent="10"/>
    </xf>
    <xf numFmtId="3" fontId="0" fillId="0" borderId="0" xfId="27" applyNumberFormat="1" applyFont="1" applyAlignment="1" applyProtection="1">
      <alignment horizontal="center" vertical="center"/>
      <protection locked="0"/>
    </xf>
    <xf numFmtId="0" fontId="27" fillId="0" borderId="66" xfId="27" applyFont="1" applyBorder="1" applyAlignment="1" applyProtection="1">
      <alignment horizontal="center"/>
      <protection locked="0"/>
    </xf>
    <xf numFmtId="176" fontId="0" fillId="0" borderId="67" xfId="28" applyNumberFormat="1" applyFont="1" applyFill="1" applyBorder="1" applyAlignment="1" applyProtection="1">
      <alignment horizontal="center" vertical="center"/>
      <protection locked="0"/>
    </xf>
    <xf numFmtId="49" fontId="87" fillId="0" borderId="0" xfId="0" applyNumberFormat="1" applyFont="1"/>
    <xf numFmtId="3" fontId="0" fillId="0" borderId="117" xfId="27" applyNumberFormat="1" applyFont="1" applyBorder="1" applyAlignment="1" applyProtection="1">
      <alignment horizontal="center" vertical="center"/>
      <protection locked="0"/>
    </xf>
    <xf numFmtId="9" fontId="0" fillId="0" borderId="117" xfId="29" applyFont="1" applyFill="1" applyBorder="1" applyAlignment="1" applyProtection="1">
      <alignment horizontal="center" vertical="center"/>
      <protection locked="0"/>
    </xf>
    <xf numFmtId="175" fontId="0" fillId="0" borderId="117" xfId="30" applyNumberFormat="1" applyFont="1" applyFill="1" applyBorder="1" applyAlignment="1" applyProtection="1">
      <alignment horizontal="center" vertical="center"/>
      <protection locked="0"/>
    </xf>
    <xf numFmtId="0" fontId="0" fillId="0" borderId="117" xfId="27" applyFont="1" applyBorder="1" applyAlignment="1" applyProtection="1">
      <alignment horizontal="center" vertical="center"/>
      <protection locked="0"/>
    </xf>
    <xf numFmtId="3" fontId="0" fillId="0" borderId="198" xfId="27" applyNumberFormat="1" applyFont="1" applyBorder="1" applyAlignment="1" applyProtection="1">
      <alignment horizontal="left" vertical="center"/>
      <protection locked="0"/>
    </xf>
    <xf numFmtId="0" fontId="27" fillId="0" borderId="63" xfId="27" applyFont="1" applyBorder="1" applyAlignment="1" applyProtection="1">
      <alignment horizontal="center"/>
      <protection locked="0"/>
    </xf>
    <xf numFmtId="176" fontId="0" fillId="0" borderId="74" xfId="28" applyNumberFormat="1" applyFont="1" applyFill="1" applyBorder="1" applyAlignment="1" applyProtection="1">
      <alignment horizontal="center" vertical="center"/>
      <protection locked="0"/>
    </xf>
    <xf numFmtId="3" fontId="0" fillId="0" borderId="119" xfId="27" applyNumberFormat="1" applyFont="1" applyBorder="1" applyAlignment="1" applyProtection="1">
      <alignment horizontal="center" vertical="center"/>
      <protection locked="0"/>
    </xf>
    <xf numFmtId="9" fontId="0" fillId="0" borderId="119" xfId="29" applyFont="1" applyFill="1" applyBorder="1" applyAlignment="1" applyProtection="1">
      <alignment horizontal="center" vertical="center"/>
      <protection locked="0"/>
    </xf>
    <xf numFmtId="175" fontId="0" fillId="0" borderId="119" xfId="30" applyNumberFormat="1" applyFont="1" applyFill="1" applyBorder="1" applyAlignment="1" applyProtection="1">
      <alignment horizontal="center" vertical="center"/>
      <protection locked="0"/>
    </xf>
    <xf numFmtId="0" fontId="0" fillId="0" borderId="119" xfId="27" applyFont="1" applyBorder="1" applyAlignment="1" applyProtection="1">
      <alignment horizontal="center" vertical="center"/>
      <protection locked="0"/>
    </xf>
    <xf numFmtId="3" fontId="0" fillId="0" borderId="199" xfId="27" applyNumberFormat="1" applyFont="1" applyBorder="1" applyAlignment="1" applyProtection="1">
      <alignment horizontal="left" vertical="center"/>
      <protection locked="0"/>
    </xf>
    <xf numFmtId="175" fontId="0" fillId="0" borderId="0" xfId="30" applyNumberFormat="1" applyFont="1" applyFill="1" applyBorder="1" applyAlignment="1" applyProtection="1">
      <alignment horizontal="center" vertical="center"/>
      <protection locked="0"/>
    </xf>
    <xf numFmtId="3" fontId="27" fillId="0" borderId="119" xfId="27" applyNumberFormat="1" applyFont="1" applyBorder="1" applyAlignment="1" applyProtection="1">
      <alignment horizontal="center" vertical="center"/>
      <protection locked="0"/>
    </xf>
    <xf numFmtId="175" fontId="27" fillId="0" borderId="119" xfId="30" applyNumberFormat="1" applyFont="1" applyFill="1" applyBorder="1" applyAlignment="1" applyProtection="1">
      <alignment horizontal="center" vertical="center"/>
      <protection locked="0"/>
    </xf>
    <xf numFmtId="0" fontId="87" fillId="0" borderId="0" xfId="0" applyFont="1"/>
    <xf numFmtId="0" fontId="87" fillId="0" borderId="0" xfId="0" applyFont="1" applyAlignment="1">
      <alignment horizontal="left"/>
    </xf>
    <xf numFmtId="166" fontId="27" fillId="0" borderId="119" xfId="22" applyNumberFormat="1" applyFont="1" applyFill="1" applyBorder="1" applyAlignment="1" applyProtection="1">
      <alignment horizontal="center" vertical="center"/>
      <protection locked="0"/>
    </xf>
    <xf numFmtId="0" fontId="27" fillId="0" borderId="119" xfId="27" applyFont="1" applyBorder="1" applyAlignment="1" applyProtection="1">
      <alignment horizontal="center" vertical="center"/>
      <protection locked="0"/>
    </xf>
    <xf numFmtId="9" fontId="27" fillId="0" borderId="119" xfId="29" applyFont="1" applyFill="1" applyBorder="1" applyAlignment="1" applyProtection="1">
      <alignment horizontal="center" vertical="center"/>
      <protection locked="0"/>
    </xf>
    <xf numFmtId="3" fontId="27" fillId="0" borderId="199" xfId="27" applyNumberFormat="1" applyFont="1" applyBorder="1" applyAlignment="1" applyProtection="1">
      <alignment horizontal="left" vertical="center"/>
      <protection locked="0"/>
    </xf>
    <xf numFmtId="49" fontId="27" fillId="0" borderId="0" xfId="0" applyNumberFormat="1" applyFont="1"/>
    <xf numFmtId="184" fontId="28" fillId="0" borderId="69" xfId="27" applyNumberFormat="1" applyFont="1" applyBorder="1" applyAlignment="1">
      <alignment horizontal="center" vertical="center" wrapText="1"/>
    </xf>
    <xf numFmtId="0" fontId="28" fillId="0" borderId="71" xfId="27" applyFont="1" applyBorder="1" applyAlignment="1">
      <alignment horizontal="center" vertical="center"/>
    </xf>
    <xf numFmtId="184" fontId="28" fillId="0" borderId="72" xfId="27" applyNumberFormat="1" applyFont="1" applyBorder="1" applyAlignment="1">
      <alignment horizontal="center" vertical="center"/>
    </xf>
    <xf numFmtId="184" fontId="28" fillId="0" borderId="70" xfId="28" applyNumberFormat="1" applyFont="1" applyBorder="1" applyAlignment="1">
      <alignment horizontal="center" vertical="center"/>
    </xf>
    <xf numFmtId="184" fontId="28" fillId="0" borderId="70" xfId="28" applyNumberFormat="1" applyFont="1" applyBorder="1" applyAlignment="1">
      <alignment horizontal="center" vertical="center" wrapText="1"/>
    </xf>
    <xf numFmtId="0" fontId="28" fillId="0" borderId="70" xfId="27" applyFont="1" applyBorder="1" applyAlignment="1">
      <alignment horizontal="center" vertical="center" wrapText="1"/>
    </xf>
    <xf numFmtId="0" fontId="28" fillId="0" borderId="71" xfId="27" applyFont="1" applyBorder="1" applyAlignment="1">
      <alignment horizontal="left" vertical="center"/>
    </xf>
    <xf numFmtId="0" fontId="35" fillId="31" borderId="78" xfId="15" applyFont="1" applyFill="1" applyBorder="1" applyAlignment="1">
      <alignment horizontal="centerContinuous" vertical="center" wrapText="1"/>
    </xf>
    <xf numFmtId="1" fontId="35" fillId="31" borderId="76" xfId="16" applyNumberFormat="1" applyFont="1" applyFill="1" applyBorder="1" applyAlignment="1">
      <alignment horizontal="center" vertical="center" wrapText="1"/>
    </xf>
    <xf numFmtId="1" fontId="35" fillId="31" borderId="76" xfId="16" applyNumberFormat="1" applyFont="1" applyFill="1" applyBorder="1" applyAlignment="1">
      <alignment horizontal="center" vertical="center"/>
    </xf>
    <xf numFmtId="0" fontId="35" fillId="31" borderId="76" xfId="16" applyFont="1" applyFill="1" applyBorder="1" applyAlignment="1">
      <alignment horizontal="left" vertical="center" indent="1"/>
    </xf>
    <xf numFmtId="0" fontId="35" fillId="31" borderId="69" xfId="15" applyFont="1" applyFill="1" applyBorder="1" applyAlignment="1">
      <alignment horizontal="centerContinuous" vertical="center"/>
    </xf>
    <xf numFmtId="0" fontId="35" fillId="31" borderId="71" xfId="15" applyFont="1" applyFill="1" applyBorder="1" applyAlignment="1">
      <alignment horizontal="centerContinuous" vertical="center"/>
    </xf>
    <xf numFmtId="0" fontId="28" fillId="0" borderId="71" xfId="15" quotePrefix="1" applyFont="1" applyBorder="1" applyAlignment="1">
      <alignment horizontal="center" vertical="center"/>
    </xf>
    <xf numFmtId="10" fontId="26" fillId="0" borderId="200" xfId="0" quotePrefix="1" applyNumberFormat="1" applyFont="1" applyBorder="1" applyAlignment="1">
      <alignment horizontal="center"/>
    </xf>
    <xf numFmtId="14" fontId="26" fillId="0" borderId="200" xfId="0" quotePrefix="1" applyNumberFormat="1" applyFont="1" applyBorder="1" applyAlignment="1">
      <alignment horizontal="center"/>
    </xf>
    <xf numFmtId="0" fontId="0" fillId="0" borderId="78" xfId="0" quotePrefix="1" applyBorder="1" applyAlignment="1">
      <alignment horizontal="center"/>
    </xf>
    <xf numFmtId="0" fontId="89" fillId="33" borderId="201" xfId="0" applyFont="1" applyFill="1" applyBorder="1" applyAlignment="1">
      <alignment horizontal="center"/>
    </xf>
    <xf numFmtId="183" fontId="44" fillId="13" borderId="0" xfId="0" applyNumberFormat="1" applyFont="1" applyFill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38" fillId="26" borderId="0" xfId="0" applyFont="1" applyFill="1" applyAlignment="1">
      <alignment horizontal="left" vertical="center"/>
    </xf>
    <xf numFmtId="171" fontId="48" fillId="26" borderId="0" xfId="11" applyNumberFormat="1" applyFont="1" applyFill="1" applyBorder="1" applyAlignment="1">
      <alignment horizontal="center" vertical="center"/>
    </xf>
    <xf numFmtId="171" fontId="48" fillId="27" borderId="0" xfId="11" applyNumberFormat="1" applyFont="1" applyFill="1" applyBorder="1" applyAlignment="1">
      <alignment horizontal="center" vertical="center"/>
    </xf>
    <xf numFmtId="0" fontId="38" fillId="27" borderId="0" xfId="0" applyFont="1" applyFill="1" applyAlignment="1">
      <alignment horizontal="left" vertical="center"/>
    </xf>
    <xf numFmtId="14" fontId="90" fillId="0" borderId="0" xfId="6" applyNumberFormat="1" applyFont="1" applyAlignment="1">
      <alignment vertical="center"/>
    </xf>
    <xf numFmtId="171" fontId="48" fillId="28" borderId="0" xfId="11" applyNumberFormat="1" applyFont="1" applyFill="1" applyBorder="1" applyAlignment="1">
      <alignment horizontal="center" vertical="center"/>
    </xf>
    <xf numFmtId="0" fontId="38" fillId="29" borderId="0" xfId="0" applyFont="1" applyFill="1" applyAlignment="1">
      <alignment horizontal="left" vertical="center"/>
    </xf>
    <xf numFmtId="171" fontId="48" fillId="29" borderId="0" xfId="11" applyNumberFormat="1" applyFont="1" applyFill="1" applyBorder="1" applyAlignment="1">
      <alignment horizontal="center" vertical="center"/>
    </xf>
    <xf numFmtId="0" fontId="38" fillId="28" borderId="0" xfId="0" applyFont="1" applyFill="1" applyAlignment="1">
      <alignment horizontal="left" vertical="center"/>
    </xf>
    <xf numFmtId="0" fontId="38" fillId="30" borderId="0" xfId="0" applyFont="1" applyFill="1" applyAlignment="1">
      <alignment horizontal="left" vertical="center"/>
    </xf>
    <xf numFmtId="171" fontId="48" fillId="30" borderId="0" xfId="11" applyNumberFormat="1" applyFont="1" applyFill="1" applyBorder="1" applyAlignment="1">
      <alignment horizontal="center" vertical="center"/>
    </xf>
    <xf numFmtId="0" fontId="90" fillId="0" borderId="0" xfId="0" applyFont="1" applyAlignment="1">
      <alignment vertical="center"/>
    </xf>
    <xf numFmtId="0" fontId="42" fillId="0" borderId="0" xfId="0" applyFont="1" applyAlignment="1">
      <alignment horizontal="left" vertical="center"/>
    </xf>
    <xf numFmtId="171" fontId="49" fillId="0" borderId="0" xfId="11" applyNumberFormat="1" applyFont="1" applyBorder="1" applyAlignment="1">
      <alignment horizontal="center" vertical="center"/>
    </xf>
    <xf numFmtId="49" fontId="48" fillId="0" borderId="0" xfId="11" applyNumberFormat="1" applyFont="1" applyFill="1" applyBorder="1" applyAlignment="1">
      <alignment horizontal="left" vertical="center"/>
    </xf>
    <xf numFmtId="171" fontId="48" fillId="0" borderId="0" xfId="11" applyNumberFormat="1" applyFont="1" applyFill="1" applyBorder="1" applyAlignment="1">
      <alignment horizontal="center" vertical="center"/>
    </xf>
    <xf numFmtId="9" fontId="48" fillId="0" borderId="0" xfId="1" applyFont="1" applyFill="1" applyBorder="1" applyAlignment="1">
      <alignment horizontal="center" vertical="center"/>
    </xf>
    <xf numFmtId="49" fontId="49" fillId="15" borderId="0" xfId="11" applyNumberFormat="1" applyFont="1" applyFill="1" applyBorder="1" applyAlignment="1">
      <alignment horizontal="left" vertical="center"/>
    </xf>
    <xf numFmtId="173" fontId="49" fillId="15" borderId="0" xfId="0" applyNumberFormat="1" applyFont="1" applyFill="1" applyAlignment="1">
      <alignment vertical="center"/>
    </xf>
    <xf numFmtId="9" fontId="48" fillId="15" borderId="0" xfId="1" applyFont="1" applyFill="1" applyBorder="1" applyAlignment="1">
      <alignment horizontal="center" vertical="center"/>
    </xf>
    <xf numFmtId="171" fontId="48" fillId="15" borderId="0" xfId="11" applyNumberFormat="1" applyFont="1" applyFill="1" applyBorder="1" applyAlignment="1">
      <alignment horizontal="center" vertical="center"/>
    </xf>
    <xf numFmtId="49" fontId="49" fillId="15" borderId="0" xfId="0" applyNumberFormat="1" applyFont="1" applyFill="1" applyAlignment="1">
      <alignment horizontal="left" vertical="center"/>
    </xf>
    <xf numFmtId="171" fontId="49" fillId="15" borderId="0" xfId="0" applyNumberFormat="1" applyFont="1" applyFill="1" applyAlignment="1">
      <alignment vertical="center"/>
    </xf>
    <xf numFmtId="9" fontId="49" fillId="15" borderId="0" xfId="1" applyFont="1" applyFill="1" applyBorder="1" applyAlignment="1">
      <alignment horizontal="center" vertical="center"/>
    </xf>
    <xf numFmtId="171" fontId="49" fillId="15" borderId="0" xfId="11" applyNumberFormat="1" applyFont="1" applyFill="1" applyBorder="1" applyAlignment="1">
      <alignment horizontal="center" vertical="center"/>
    </xf>
    <xf numFmtId="9" fontId="48" fillId="26" borderId="0" xfId="1" applyFont="1" applyFill="1" applyBorder="1" applyAlignment="1">
      <alignment horizontal="center" vertical="center"/>
    </xf>
    <xf numFmtId="9" fontId="48" fillId="27" borderId="0" xfId="1" applyFont="1" applyFill="1" applyBorder="1" applyAlignment="1">
      <alignment horizontal="center" vertical="center"/>
    </xf>
    <xf numFmtId="9" fontId="48" fillId="29" borderId="0" xfId="1" applyFont="1" applyFill="1" applyBorder="1" applyAlignment="1">
      <alignment horizontal="center" vertical="center"/>
    </xf>
    <xf numFmtId="9" fontId="48" fillId="28" borderId="0" xfId="1" applyFont="1" applyFill="1" applyBorder="1" applyAlignment="1">
      <alignment horizontal="center" vertical="center"/>
    </xf>
    <xf numFmtId="9" fontId="48" fillId="30" borderId="0" xfId="1" applyFont="1" applyFill="1" applyBorder="1" applyAlignment="1">
      <alignment horizontal="center" vertical="center"/>
    </xf>
    <xf numFmtId="4" fontId="0" fillId="15" borderId="0" xfId="0" applyNumberFormat="1" applyFill="1"/>
    <xf numFmtId="17" fontId="26" fillId="4" borderId="0" xfId="0" applyNumberFormat="1" applyFont="1" applyFill="1"/>
    <xf numFmtId="166" fontId="3" fillId="7" borderId="0" xfId="0" applyNumberFormat="1" applyFont="1" applyFill="1" applyAlignment="1">
      <alignment horizontal="center" wrapText="1" readingOrder="1"/>
    </xf>
    <xf numFmtId="166" fontId="5" fillId="0" borderId="0" xfId="0" applyNumberFormat="1" applyFont="1" applyAlignment="1">
      <alignment horizontal="center" wrapText="1" readingOrder="1"/>
    </xf>
    <xf numFmtId="0" fontId="5" fillId="0" borderId="22" xfId="0" applyFont="1" applyBorder="1" applyAlignment="1">
      <alignment horizontal="left" wrapText="1" indent="2" readingOrder="1"/>
    </xf>
    <xf numFmtId="0" fontId="12" fillId="0" borderId="22" xfId="0" applyFont="1" applyBorder="1" applyAlignment="1">
      <alignment horizontal="left" wrapText="1" readingOrder="1"/>
    </xf>
    <xf numFmtId="166" fontId="12" fillId="0" borderId="7" xfId="0" applyNumberFormat="1" applyFont="1" applyBorder="1" applyAlignment="1">
      <alignment horizontal="center" wrapText="1" readingOrder="1"/>
    </xf>
    <xf numFmtId="166" fontId="12" fillId="0" borderId="0" xfId="0" applyNumberFormat="1" applyFont="1" applyAlignment="1">
      <alignment horizontal="center" wrapText="1" readingOrder="1"/>
    </xf>
    <xf numFmtId="9" fontId="12" fillId="0" borderId="8" xfId="0" applyNumberFormat="1" applyFont="1" applyBorder="1" applyAlignment="1">
      <alignment horizontal="center" wrapText="1" readingOrder="1"/>
    </xf>
    <xf numFmtId="0" fontId="12" fillId="0" borderId="23" xfId="0" applyFont="1" applyBorder="1" applyAlignment="1">
      <alignment horizontal="left" wrapText="1" readingOrder="1"/>
    </xf>
    <xf numFmtId="166" fontId="12" fillId="0" borderId="24" xfId="0" applyNumberFormat="1" applyFont="1" applyBorder="1" applyAlignment="1">
      <alignment horizontal="center" wrapText="1" readingOrder="1"/>
    </xf>
    <xf numFmtId="166" fontId="12" fillId="0" borderId="25" xfId="0" applyNumberFormat="1" applyFont="1" applyBorder="1" applyAlignment="1">
      <alignment horizontal="center" wrapText="1" readingOrder="1"/>
    </xf>
    <xf numFmtId="9" fontId="12" fillId="0" borderId="26" xfId="0" applyNumberFormat="1" applyFont="1" applyBorder="1" applyAlignment="1">
      <alignment horizontal="center" wrapText="1" readingOrder="1"/>
    </xf>
    <xf numFmtId="9" fontId="0" fillId="0" borderId="0" xfId="1" applyFont="1"/>
    <xf numFmtId="0" fontId="3" fillId="0" borderId="107" xfId="0" applyFont="1" applyBorder="1" applyAlignment="1">
      <alignment horizontal="left" wrapText="1" readingOrder="1"/>
    </xf>
    <xf numFmtId="0" fontId="3" fillId="0" borderId="106" xfId="0" applyFont="1" applyBorder="1" applyAlignment="1">
      <alignment horizontal="left" wrapText="1" readingOrder="1"/>
    </xf>
    <xf numFmtId="172" fontId="3" fillId="0" borderId="105" xfId="0" applyNumberFormat="1" applyFont="1" applyBorder="1" applyAlignment="1">
      <alignment horizontal="center" vertical="center" wrapText="1" readingOrder="1"/>
    </xf>
    <xf numFmtId="172" fontId="3" fillId="0" borderId="67" xfId="0" applyNumberFormat="1" applyFont="1" applyBorder="1" applyAlignment="1">
      <alignment horizontal="center" vertical="center" wrapText="1" readingOrder="1"/>
    </xf>
    <xf numFmtId="172" fontId="3" fillId="0" borderId="60" xfId="0" applyNumberFormat="1" applyFont="1" applyBorder="1" applyAlignment="1">
      <alignment horizontal="center" vertical="center" wrapText="1" readingOrder="1"/>
    </xf>
    <xf numFmtId="172" fontId="3" fillId="0" borderId="66" xfId="0" applyNumberFormat="1" applyFont="1" applyBorder="1" applyAlignment="1">
      <alignment horizontal="center" vertical="center" wrapText="1" readingOrder="1"/>
    </xf>
    <xf numFmtId="172" fontId="3" fillId="8" borderId="7" xfId="0" applyNumberFormat="1" applyFont="1" applyFill="1" applyBorder="1" applyAlignment="1">
      <alignment horizontal="center" vertical="center" wrapText="1" readingOrder="1"/>
    </xf>
    <xf numFmtId="172" fontId="3" fillId="8" borderId="74" xfId="0" applyNumberFormat="1" applyFont="1" applyFill="1" applyBorder="1" applyAlignment="1">
      <alignment horizontal="center" vertical="center" wrapText="1" readingOrder="1"/>
    </xf>
    <xf numFmtId="172" fontId="3" fillId="8" borderId="0" xfId="0" applyNumberFormat="1" applyFont="1" applyFill="1" applyAlignment="1">
      <alignment horizontal="center" vertical="center" wrapText="1" readingOrder="1"/>
    </xf>
    <xf numFmtId="172" fontId="3" fillId="8" borderId="63" xfId="0" applyNumberFormat="1" applyFont="1" applyFill="1" applyBorder="1" applyAlignment="1">
      <alignment horizontal="center" vertical="center" wrapText="1" readingOrder="1"/>
    </xf>
    <xf numFmtId="10" fontId="0" fillId="0" borderId="0" xfId="1" applyNumberFormat="1" applyFont="1"/>
    <xf numFmtId="165" fontId="0" fillId="0" borderId="0" xfId="11" applyFont="1"/>
    <xf numFmtId="165" fontId="48" fillId="0" borderId="0" xfId="11" applyFont="1"/>
    <xf numFmtId="185" fontId="0" fillId="0" borderId="0" xfId="11" applyNumberFormat="1" applyFont="1"/>
    <xf numFmtId="171" fontId="0" fillId="0" borderId="0" xfId="0" applyNumberFormat="1"/>
    <xf numFmtId="0" fontId="91" fillId="0" borderId="0" xfId="0" applyFont="1"/>
    <xf numFmtId="177" fontId="55" fillId="11" borderId="167" xfId="0" applyNumberFormat="1" applyFont="1" applyFill="1" applyBorder="1" applyAlignment="1">
      <alignment horizontal="center" vertical="center" wrapText="1" readingOrder="1"/>
    </xf>
    <xf numFmtId="177" fontId="54" fillId="11" borderId="166" xfId="0" applyNumberFormat="1" applyFont="1" applyFill="1" applyBorder="1" applyAlignment="1">
      <alignment horizontal="center" vertical="center" wrapText="1" readingOrder="1"/>
    </xf>
    <xf numFmtId="0" fontId="55" fillId="0" borderId="55" xfId="0" applyFont="1" applyBorder="1" applyAlignment="1">
      <alignment horizontal="center" vertical="center" wrapText="1" readingOrder="1"/>
    </xf>
    <xf numFmtId="177" fontId="55" fillId="0" borderId="143" xfId="0" applyNumberFormat="1" applyFont="1" applyBorder="1" applyAlignment="1">
      <alignment horizontal="center" vertical="center" wrapText="1" readingOrder="1"/>
    </xf>
    <xf numFmtId="177" fontId="55" fillId="0" borderId="138" xfId="0" applyNumberFormat="1" applyFont="1" applyBorder="1" applyAlignment="1">
      <alignment horizontal="center" vertical="center" wrapText="1" readingOrder="1"/>
    </xf>
    <xf numFmtId="43" fontId="51" fillId="0" borderId="0" xfId="13" applyFont="1" applyFill="1"/>
    <xf numFmtId="0" fontId="55" fillId="7" borderId="151" xfId="0" applyFont="1" applyFill="1" applyBorder="1" applyAlignment="1">
      <alignment horizontal="center" vertical="center" wrapText="1" readingOrder="1"/>
    </xf>
    <xf numFmtId="9" fontId="75" fillId="7" borderId="36" xfId="0" applyNumberFormat="1" applyFont="1" applyFill="1" applyBorder="1" applyAlignment="1">
      <alignment horizontal="center" vertical="center" wrapText="1" readingOrder="1"/>
    </xf>
    <xf numFmtId="9" fontId="62" fillId="7" borderId="36" xfId="0" applyNumberFormat="1" applyFont="1" applyFill="1" applyBorder="1" applyAlignment="1">
      <alignment horizontal="center" vertical="center" wrapText="1" readingOrder="1"/>
    </xf>
    <xf numFmtId="179" fontId="62" fillId="7" borderId="36" xfId="0" applyNumberFormat="1" applyFont="1" applyFill="1" applyBorder="1" applyAlignment="1">
      <alignment horizontal="center" vertical="center" wrapText="1" readingOrder="1"/>
    </xf>
    <xf numFmtId="179" fontId="62" fillId="7" borderId="148" xfId="0" applyNumberFormat="1" applyFont="1" applyFill="1" applyBorder="1" applyAlignment="1">
      <alignment horizontal="center" vertical="center" wrapText="1" readingOrder="1"/>
    </xf>
    <xf numFmtId="9" fontId="74" fillId="15" borderId="0" xfId="0" applyNumberFormat="1" applyFont="1" applyFill="1" applyAlignment="1">
      <alignment horizontal="center" vertical="center" wrapText="1" readingOrder="1"/>
    </xf>
    <xf numFmtId="9" fontId="74" fillId="15" borderId="62" xfId="0" applyNumberFormat="1" applyFont="1" applyFill="1" applyBorder="1" applyAlignment="1">
      <alignment horizontal="center" vertical="center" wrapText="1" readingOrder="1"/>
    </xf>
    <xf numFmtId="0" fontId="55" fillId="15" borderId="73" xfId="0" applyFont="1" applyFill="1" applyBorder="1" applyAlignment="1">
      <alignment horizontal="center" vertical="center" wrapText="1" readingOrder="1"/>
    </xf>
    <xf numFmtId="173" fontId="0" fillId="0" borderId="0" xfId="0" applyNumberFormat="1"/>
    <xf numFmtId="0" fontId="55" fillId="13" borderId="75" xfId="0" applyFont="1" applyFill="1" applyBorder="1" applyAlignment="1">
      <alignment horizontal="center" vertical="center" wrapText="1" readingOrder="1"/>
    </xf>
    <xf numFmtId="166" fontId="55" fillId="13" borderId="0" xfId="0" applyNumberFormat="1" applyFont="1" applyFill="1" applyAlignment="1">
      <alignment horizontal="center" vertical="center" wrapText="1" readingOrder="1"/>
    </xf>
    <xf numFmtId="166" fontId="54" fillId="13" borderId="0" xfId="0" applyNumberFormat="1" applyFont="1" applyFill="1" applyAlignment="1">
      <alignment horizontal="center" vertical="center" wrapText="1" readingOrder="1"/>
    </xf>
    <xf numFmtId="166" fontId="54" fillId="13" borderId="62" xfId="0" applyNumberFormat="1" applyFont="1" applyFill="1" applyBorder="1" applyAlignment="1">
      <alignment horizontal="center" vertical="center" wrapText="1" readingOrder="1"/>
    </xf>
    <xf numFmtId="177" fontId="55" fillId="13" borderId="0" xfId="0" applyNumberFormat="1" applyFont="1" applyFill="1" applyAlignment="1">
      <alignment horizontal="center" vertical="center" wrapText="1" readingOrder="1"/>
    </xf>
    <xf numFmtId="177" fontId="54" fillId="13" borderId="0" xfId="0" applyNumberFormat="1" applyFont="1" applyFill="1" applyAlignment="1">
      <alignment horizontal="center" vertical="center" wrapText="1" readingOrder="1"/>
    </xf>
    <xf numFmtId="177" fontId="54" fillId="13" borderId="62" xfId="0" applyNumberFormat="1" applyFont="1" applyFill="1" applyBorder="1" applyAlignment="1">
      <alignment horizontal="center" vertical="center" wrapText="1" readingOrder="1"/>
    </xf>
    <xf numFmtId="17" fontId="48" fillId="0" borderId="0" xfId="0" applyNumberFormat="1" applyFont="1"/>
    <xf numFmtId="0" fontId="4" fillId="0" borderId="0" xfId="0" applyFont="1" applyAlignment="1">
      <alignment horizontal="left" vertical="center" wrapText="1" readingOrder="1"/>
    </xf>
    <xf numFmtId="10" fontId="4" fillId="0" borderId="0" xfId="1" applyNumberFormat="1" applyFont="1" applyFill="1" applyBorder="1" applyAlignment="1">
      <alignment horizontal="center" vertical="center" wrapText="1" readingOrder="1"/>
    </xf>
    <xf numFmtId="0" fontId="4" fillId="0" borderId="154" xfId="0" applyFont="1" applyBorder="1" applyAlignment="1">
      <alignment horizontal="left" vertical="center" wrapText="1" readingOrder="1"/>
    </xf>
    <xf numFmtId="170" fontId="4" fillId="0" borderId="202" xfId="0" applyNumberFormat="1" applyFont="1" applyBorder="1" applyAlignment="1">
      <alignment horizontal="center" vertical="center" wrapText="1" readingOrder="1"/>
    </xf>
    <xf numFmtId="170" fontId="4" fillId="0" borderId="115" xfId="0" applyNumberFormat="1" applyFont="1" applyBorder="1" applyAlignment="1">
      <alignment horizontal="center" vertical="center" wrapText="1" readingOrder="1"/>
    </xf>
    <xf numFmtId="170" fontId="4" fillId="0" borderId="153" xfId="0" applyNumberFormat="1" applyFont="1" applyBorder="1" applyAlignment="1">
      <alignment horizontal="center" vertical="center" wrapText="1" readingOrder="1"/>
    </xf>
    <xf numFmtId="0" fontId="85" fillId="15" borderId="88" xfId="0" applyFont="1" applyFill="1" applyBorder="1" applyAlignment="1">
      <alignment horizontal="left" vertical="center" wrapText="1" readingOrder="1"/>
    </xf>
    <xf numFmtId="0" fontId="85" fillId="15" borderId="84" xfId="0" applyFont="1" applyFill="1" applyBorder="1" applyAlignment="1">
      <alignment horizontal="left" vertical="center" wrapText="1" readingOrder="1"/>
    </xf>
    <xf numFmtId="170" fontId="85" fillId="15" borderId="190" xfId="0" applyNumberFormat="1" applyFont="1" applyFill="1" applyBorder="1" applyAlignment="1">
      <alignment horizontal="center" vertical="center" wrapText="1" readingOrder="1"/>
    </xf>
    <xf numFmtId="170" fontId="85" fillId="15" borderId="0" xfId="0" applyNumberFormat="1" applyFont="1" applyFill="1" applyAlignment="1">
      <alignment horizontal="center" vertical="center" wrapText="1" readingOrder="1"/>
    </xf>
    <xf numFmtId="170" fontId="85" fillId="15" borderId="86" xfId="0" applyNumberFormat="1" applyFont="1" applyFill="1" applyBorder="1" applyAlignment="1">
      <alignment horizontal="center" vertical="center" wrapText="1" readingOrder="1"/>
    </xf>
    <xf numFmtId="170" fontId="85" fillId="15" borderId="189" xfId="0" applyNumberFormat="1" applyFont="1" applyFill="1" applyBorder="1" applyAlignment="1">
      <alignment horizontal="center" vertical="center" wrapText="1" readingOrder="1"/>
    </xf>
    <xf numFmtId="170" fontId="85" fillId="15" borderId="62" xfId="0" applyNumberFormat="1" applyFont="1" applyFill="1" applyBorder="1" applyAlignment="1">
      <alignment horizontal="center" vertical="center" wrapText="1" readingOrder="1"/>
    </xf>
    <xf numFmtId="170" fontId="85" fillId="15" borderId="81" xfId="0" applyNumberFormat="1" applyFont="1" applyFill="1" applyBorder="1" applyAlignment="1">
      <alignment horizontal="center" vertical="center" wrapText="1" readingOrder="1"/>
    </xf>
    <xf numFmtId="3" fontId="4" fillId="0" borderId="0" xfId="0" applyNumberFormat="1" applyFont="1" applyAlignment="1">
      <alignment horizontal="center" vertical="center" wrapText="1" readingOrder="1"/>
    </xf>
    <xf numFmtId="3" fontId="4" fillId="0" borderId="86" xfId="0" applyNumberFormat="1" applyFont="1" applyBorder="1" applyAlignment="1">
      <alignment horizontal="center" vertical="center" wrapText="1" readingOrder="1"/>
    </xf>
    <xf numFmtId="168" fontId="92" fillId="0" borderId="62" xfId="1" applyNumberFormat="1" applyFont="1" applyFill="1" applyBorder="1" applyAlignment="1">
      <alignment horizontal="center" vertical="center" wrapText="1" readingOrder="1"/>
    </xf>
    <xf numFmtId="168" fontId="92" fillId="0" borderId="81" xfId="1" applyNumberFormat="1" applyFont="1" applyFill="1" applyBorder="1" applyAlignment="1">
      <alignment horizontal="center" vertical="center" wrapText="1" readingOrder="1"/>
    </xf>
    <xf numFmtId="0" fontId="38" fillId="0" borderId="203" xfId="31" applyFont="1" applyBorder="1" applyAlignment="1">
      <alignment horizontal="left" vertical="center" indent="5"/>
    </xf>
    <xf numFmtId="0" fontId="54" fillId="0" borderId="0" xfId="0" applyFont="1" applyAlignment="1">
      <alignment horizontal="left" vertical="center" wrapText="1" indent="1" readingOrder="1"/>
    </xf>
    <xf numFmtId="165" fontId="0" fillId="0" borderId="0" xfId="11" applyFont="1" applyFill="1"/>
    <xf numFmtId="0" fontId="55" fillId="0" borderId="207" xfId="0" applyFont="1" applyBorder="1" applyAlignment="1">
      <alignment horizontal="center" vertical="center" wrapText="1" readingOrder="1"/>
    </xf>
    <xf numFmtId="175" fontId="0" fillId="0" borderId="0" xfId="11" applyNumberFormat="1" applyFont="1"/>
    <xf numFmtId="0" fontId="93" fillId="0" borderId="0" xfId="0" applyFont="1"/>
    <xf numFmtId="17" fontId="69" fillId="14" borderId="109" xfId="0" quotePrefix="1" applyNumberFormat="1" applyFont="1" applyFill="1" applyBorder="1" applyAlignment="1">
      <alignment horizontal="center" vertical="center" wrapText="1" readingOrder="1"/>
    </xf>
    <xf numFmtId="0" fontId="66" fillId="11" borderId="74" xfId="0" applyFont="1" applyFill="1" applyBorder="1" applyAlignment="1">
      <alignment horizontal="left" vertical="center" wrapText="1" readingOrder="1"/>
    </xf>
    <xf numFmtId="17" fontId="69" fillId="14" borderId="110" xfId="0" quotePrefix="1" applyNumberFormat="1" applyFont="1" applyFill="1" applyBorder="1" applyAlignment="1">
      <alignment horizontal="center" vertical="center" wrapText="1" readingOrder="1"/>
    </xf>
    <xf numFmtId="17" fontId="69" fillId="14" borderId="208" xfId="0" quotePrefix="1" applyNumberFormat="1" applyFont="1" applyFill="1" applyBorder="1" applyAlignment="1">
      <alignment horizontal="center" vertical="center" wrapText="1" readingOrder="1"/>
    </xf>
    <xf numFmtId="166" fontId="67" fillId="35" borderId="0" xfId="21" applyNumberFormat="1" applyFont="1" applyFill="1" applyBorder="1" applyAlignment="1">
      <alignment horizontal="center" vertical="center" readingOrder="1"/>
    </xf>
    <xf numFmtId="170" fontId="68" fillId="36" borderId="70" xfId="0" applyNumberFormat="1" applyFont="1" applyFill="1" applyBorder="1" applyAlignment="1">
      <alignment horizontal="center" vertical="center"/>
    </xf>
    <xf numFmtId="170" fontId="68" fillId="36" borderId="69" xfId="0" applyNumberFormat="1" applyFont="1" applyFill="1" applyBorder="1" applyAlignment="1">
      <alignment horizontal="center" vertical="center"/>
    </xf>
    <xf numFmtId="166" fontId="67" fillId="35" borderId="63" xfId="21" applyNumberFormat="1" applyFont="1" applyFill="1" applyBorder="1" applyAlignment="1">
      <alignment horizontal="center" vertical="center" readingOrder="1"/>
    </xf>
    <xf numFmtId="0" fontId="67" fillId="34" borderId="72" xfId="0" applyFont="1" applyFill="1" applyBorder="1" applyAlignment="1">
      <alignment horizontal="left" vertical="center" wrapText="1" readingOrder="1"/>
    </xf>
    <xf numFmtId="0" fontId="66" fillId="11" borderId="64" xfId="0" applyFont="1" applyFill="1" applyBorder="1" applyAlignment="1">
      <alignment horizontal="left" vertical="center" wrapText="1" readingOrder="1"/>
    </xf>
    <xf numFmtId="0" fontId="66" fillId="11" borderId="68" xfId="0" applyFont="1" applyFill="1" applyBorder="1" applyAlignment="1">
      <alignment horizontal="left" vertical="center" wrapText="1" readingOrder="1"/>
    </xf>
    <xf numFmtId="170" fontId="68" fillId="36" borderId="71" xfId="0" applyNumberFormat="1" applyFont="1" applyFill="1" applyBorder="1" applyAlignment="1">
      <alignment horizontal="center" vertical="center"/>
    </xf>
    <xf numFmtId="166" fontId="67" fillId="35" borderId="74" xfId="21" applyNumberFormat="1" applyFont="1" applyFill="1" applyBorder="1" applyAlignment="1">
      <alignment horizontal="center" vertical="center" readingOrder="1"/>
    </xf>
    <xf numFmtId="0" fontId="94" fillId="35" borderId="64" xfId="0" applyFont="1" applyFill="1" applyBorder="1" applyAlignment="1">
      <alignment horizontal="left" vertical="center" wrapText="1" readingOrder="1"/>
    </xf>
    <xf numFmtId="0" fontId="70" fillId="0" borderId="76" xfId="0" applyFont="1" applyBorder="1" applyAlignment="1">
      <alignment horizontal="left" vertical="center" wrapText="1" readingOrder="1"/>
    </xf>
    <xf numFmtId="0" fontId="69" fillId="22" borderId="7" xfId="0" applyFont="1" applyFill="1" applyBorder="1" applyAlignment="1">
      <alignment horizontal="left" vertical="center" wrapText="1" readingOrder="1"/>
    </xf>
    <xf numFmtId="0" fontId="67" fillId="3" borderId="71" xfId="0" applyFont="1" applyFill="1" applyBorder="1" applyAlignment="1">
      <alignment horizontal="left" vertical="center" readingOrder="1"/>
    </xf>
    <xf numFmtId="0" fontId="67" fillId="3" borderId="74" xfId="0" applyFont="1" applyFill="1" applyBorder="1" applyAlignment="1">
      <alignment horizontal="left" vertical="center" readingOrder="1"/>
    </xf>
    <xf numFmtId="0" fontId="66" fillId="0" borderId="74" xfId="0" applyFont="1" applyBorder="1" applyAlignment="1">
      <alignment horizontal="left" vertical="center" wrapText="1" readingOrder="1"/>
    </xf>
    <xf numFmtId="0" fontId="66" fillId="11" borderId="209" xfId="0" applyFont="1" applyFill="1" applyBorder="1" applyAlignment="1">
      <alignment horizontal="left" vertical="center" wrapText="1" readingOrder="1"/>
    </xf>
    <xf numFmtId="17" fontId="69" fillId="14" borderId="76" xfId="0" quotePrefix="1" applyNumberFormat="1" applyFont="1" applyFill="1" applyBorder="1" applyAlignment="1">
      <alignment horizontal="center" vertical="center" wrapText="1" readingOrder="1"/>
    </xf>
    <xf numFmtId="17" fontId="69" fillId="14" borderId="77" xfId="0" quotePrefix="1" applyNumberFormat="1" applyFont="1" applyFill="1" applyBorder="1" applyAlignment="1">
      <alignment horizontal="center" vertical="center" wrapText="1" readingOrder="1"/>
    </xf>
    <xf numFmtId="170" fontId="68" fillId="22" borderId="74" xfId="0" applyNumberFormat="1" applyFont="1" applyFill="1" applyBorder="1" applyAlignment="1">
      <alignment horizontal="center" vertical="center"/>
    </xf>
    <xf numFmtId="170" fontId="68" fillId="22" borderId="0" xfId="0" applyNumberFormat="1" applyFont="1" applyFill="1" applyAlignment="1">
      <alignment horizontal="center" vertical="center"/>
    </xf>
    <xf numFmtId="170" fontId="68" fillId="22" borderId="63" xfId="0" applyNumberFormat="1" applyFont="1" applyFill="1" applyBorder="1" applyAlignment="1">
      <alignment horizontal="center" vertical="center"/>
    </xf>
    <xf numFmtId="166" fontId="67" fillId="3" borderId="71" xfId="21" applyNumberFormat="1" applyFont="1" applyFill="1" applyBorder="1" applyAlignment="1">
      <alignment horizontal="center" vertical="center" readingOrder="1"/>
    </xf>
    <xf numFmtId="166" fontId="67" fillId="3" borderId="69" xfId="21" applyNumberFormat="1" applyFont="1" applyFill="1" applyBorder="1" applyAlignment="1">
      <alignment horizontal="center" vertical="center" readingOrder="1"/>
    </xf>
    <xf numFmtId="166" fontId="66" fillId="11" borderId="74" xfId="21" applyNumberFormat="1" applyFont="1" applyFill="1" applyBorder="1" applyAlignment="1">
      <alignment horizontal="center" vertical="center" wrapText="1" readingOrder="1"/>
    </xf>
    <xf numFmtId="166" fontId="66" fillId="11" borderId="63" xfId="21" applyNumberFormat="1" applyFont="1" applyFill="1" applyBorder="1" applyAlignment="1">
      <alignment horizontal="center" vertical="center" wrapText="1" readingOrder="1"/>
    </xf>
    <xf numFmtId="166" fontId="67" fillId="3" borderId="74" xfId="21" applyNumberFormat="1" applyFont="1" applyFill="1" applyBorder="1" applyAlignment="1">
      <alignment horizontal="center" vertical="center" readingOrder="1"/>
    </xf>
    <xf numFmtId="166" fontId="67" fillId="3" borderId="63" xfId="21" applyNumberFormat="1" applyFont="1" applyFill="1" applyBorder="1" applyAlignment="1">
      <alignment horizontal="center" vertical="center" readingOrder="1"/>
    </xf>
    <xf numFmtId="166" fontId="66" fillId="0" borderId="74" xfId="21" applyNumberFormat="1" applyFont="1" applyBorder="1" applyAlignment="1">
      <alignment horizontal="center" vertical="center" wrapText="1" readingOrder="1"/>
    </xf>
    <xf numFmtId="166" fontId="66" fillId="0" borderId="63" xfId="21" applyNumberFormat="1" applyFont="1" applyBorder="1" applyAlignment="1">
      <alignment horizontal="center" vertical="center" wrapText="1" readingOrder="1"/>
    </xf>
    <xf numFmtId="166" fontId="66" fillId="11" borderId="67" xfId="21" applyNumberFormat="1" applyFont="1" applyFill="1" applyBorder="1" applyAlignment="1">
      <alignment horizontal="center" vertical="center" wrapText="1" readingOrder="1"/>
    </xf>
    <xf numFmtId="166" fontId="66" fillId="11" borderId="60" xfId="21" applyNumberFormat="1" applyFont="1" applyFill="1" applyBorder="1" applyAlignment="1">
      <alignment horizontal="center" vertical="center" wrapText="1" readingOrder="1"/>
    </xf>
    <xf numFmtId="166" fontId="66" fillId="11" borderId="66" xfId="21" applyNumberFormat="1" applyFont="1" applyFill="1" applyBorder="1" applyAlignment="1">
      <alignment horizontal="center" vertical="center" wrapText="1" readingOrder="1"/>
    </xf>
    <xf numFmtId="17" fontId="69" fillId="14" borderId="77" xfId="0" applyNumberFormat="1" applyFont="1" applyFill="1" applyBorder="1" applyAlignment="1">
      <alignment horizontal="center" vertical="center" wrapText="1" readingOrder="1"/>
    </xf>
    <xf numFmtId="166" fontId="66" fillId="11" borderId="210" xfId="21" applyNumberFormat="1" applyFont="1" applyFill="1" applyBorder="1" applyAlignment="1">
      <alignment horizontal="center" vertical="center" wrapText="1" readingOrder="1"/>
    </xf>
    <xf numFmtId="166" fontId="66" fillId="0" borderId="66" xfId="21" applyNumberFormat="1" applyFont="1" applyBorder="1" applyAlignment="1">
      <alignment horizontal="center" vertical="center" wrapText="1" readingOrder="1"/>
    </xf>
    <xf numFmtId="17" fontId="69" fillId="14" borderId="72" xfId="0" quotePrefix="1" applyNumberFormat="1" applyFont="1" applyFill="1" applyBorder="1" applyAlignment="1">
      <alignment horizontal="center" vertical="center" wrapText="1" readingOrder="1"/>
    </xf>
    <xf numFmtId="0" fontId="69" fillId="22" borderId="74" xfId="0" applyFont="1" applyFill="1" applyBorder="1" applyAlignment="1">
      <alignment horizontal="left" vertical="center" wrapText="1" readingOrder="1"/>
    </xf>
    <xf numFmtId="0" fontId="66" fillId="0" borderId="67" xfId="0" applyFont="1" applyBorder="1" applyAlignment="1">
      <alignment horizontal="left" vertical="center" wrapText="1" readingOrder="1"/>
    </xf>
    <xf numFmtId="177" fontId="71" fillId="22" borderId="76" xfId="0" applyNumberFormat="1" applyFont="1" applyFill="1" applyBorder="1" applyAlignment="1">
      <alignment horizontal="center" vertical="center" wrapText="1" readingOrder="1"/>
    </xf>
    <xf numFmtId="177" fontId="71" fillId="22" borderId="77" xfId="0" applyNumberFormat="1" applyFont="1" applyFill="1" applyBorder="1" applyAlignment="1">
      <alignment horizontal="center" vertical="center" wrapText="1" readingOrder="1"/>
    </xf>
    <xf numFmtId="177" fontId="71" fillId="13" borderId="71" xfId="0" applyNumberFormat="1" applyFont="1" applyFill="1" applyBorder="1" applyAlignment="1">
      <alignment horizontal="center" vertical="center" wrapText="1" readingOrder="1"/>
    </xf>
    <xf numFmtId="177" fontId="71" fillId="13" borderId="69" xfId="0" applyNumberFormat="1" applyFont="1" applyFill="1" applyBorder="1" applyAlignment="1">
      <alignment horizontal="center" vertical="center" wrapText="1" readingOrder="1"/>
    </xf>
    <xf numFmtId="177" fontId="66" fillId="0" borderId="74" xfId="0" applyNumberFormat="1" applyFont="1" applyBorder="1" applyAlignment="1">
      <alignment horizontal="center" vertical="center" wrapText="1" readingOrder="1"/>
    </xf>
    <xf numFmtId="177" fontId="66" fillId="0" borderId="0" xfId="0" applyNumberFormat="1" applyFont="1" applyAlignment="1">
      <alignment horizontal="center" vertical="center" wrapText="1" readingOrder="1"/>
    </xf>
    <xf numFmtId="177" fontId="66" fillId="0" borderId="63" xfId="0" applyNumberFormat="1" applyFont="1" applyBorder="1" applyAlignment="1">
      <alignment horizontal="center" vertical="center" wrapText="1" readingOrder="1"/>
    </xf>
    <xf numFmtId="177" fontId="71" fillId="13" borderId="159" xfId="0" applyNumberFormat="1" applyFont="1" applyFill="1" applyBorder="1" applyAlignment="1">
      <alignment horizontal="center" vertical="center" wrapText="1" readingOrder="1"/>
    </xf>
    <xf numFmtId="177" fontId="71" fillId="13" borderId="211" xfId="0" applyNumberFormat="1" applyFont="1" applyFill="1" applyBorder="1" applyAlignment="1">
      <alignment horizontal="center" vertical="center" wrapText="1" readingOrder="1"/>
    </xf>
    <xf numFmtId="177" fontId="66" fillId="0" borderId="67" xfId="0" applyNumberFormat="1" applyFont="1" applyBorder="1" applyAlignment="1">
      <alignment horizontal="center" vertical="center" wrapText="1" readingOrder="1"/>
    </xf>
    <xf numFmtId="177" fontId="66" fillId="0" borderId="66" xfId="0" applyNumberFormat="1" applyFont="1" applyBorder="1" applyAlignment="1">
      <alignment horizontal="center" vertical="center" wrapText="1" readingOrder="1"/>
    </xf>
    <xf numFmtId="177" fontId="66" fillId="35" borderId="0" xfId="0" applyNumberFormat="1" applyFont="1" applyFill="1" applyAlignment="1">
      <alignment horizontal="center" vertical="center" wrapText="1" readingOrder="1"/>
    </xf>
    <xf numFmtId="177" fontId="95" fillId="36" borderId="71" xfId="0" applyNumberFormat="1" applyFont="1" applyFill="1" applyBorder="1" applyAlignment="1">
      <alignment horizontal="center" vertical="center" wrapText="1" readingOrder="1"/>
    </xf>
    <xf numFmtId="177" fontId="95" fillId="36" borderId="70" xfId="0" applyNumberFormat="1" applyFont="1" applyFill="1" applyBorder="1" applyAlignment="1">
      <alignment horizontal="center" vertical="center" wrapText="1" readingOrder="1"/>
    </xf>
    <xf numFmtId="177" fontId="95" fillId="36" borderId="69" xfId="0" applyNumberFormat="1" applyFont="1" applyFill="1" applyBorder="1" applyAlignment="1">
      <alignment horizontal="center" vertical="center" wrapText="1" readingOrder="1"/>
    </xf>
    <xf numFmtId="177" fontId="66" fillId="35" borderId="74" xfId="0" applyNumberFormat="1" applyFont="1" applyFill="1" applyBorder="1" applyAlignment="1">
      <alignment horizontal="center" vertical="center" wrapText="1" readingOrder="1"/>
    </xf>
    <xf numFmtId="177" fontId="66" fillId="35" borderId="63" xfId="0" applyNumberFormat="1" applyFont="1" applyFill="1" applyBorder="1" applyAlignment="1">
      <alignment horizontal="center" vertical="center" wrapText="1" readingOrder="1"/>
    </xf>
    <xf numFmtId="0" fontId="67" fillId="34" borderId="78" xfId="0" applyFont="1" applyFill="1" applyBorder="1" applyAlignment="1">
      <alignment horizontal="left" vertical="center" wrapText="1" readingOrder="1"/>
    </xf>
    <xf numFmtId="177" fontId="95" fillId="36" borderId="76" xfId="0" applyNumberFormat="1" applyFont="1" applyFill="1" applyBorder="1" applyAlignment="1">
      <alignment horizontal="center" vertical="center" wrapText="1" readingOrder="1"/>
    </xf>
    <xf numFmtId="177" fontId="95" fillId="36" borderId="77" xfId="0" applyNumberFormat="1" applyFont="1" applyFill="1" applyBorder="1" applyAlignment="1">
      <alignment horizontal="center" vertical="center" wrapText="1" readingOrder="1"/>
    </xf>
    <xf numFmtId="177" fontId="95" fillId="36" borderId="75" xfId="0" applyNumberFormat="1" applyFont="1" applyFill="1" applyBorder="1" applyAlignment="1">
      <alignment horizontal="center" vertical="center" wrapText="1" readingOrder="1"/>
    </xf>
    <xf numFmtId="171" fontId="0" fillId="0" borderId="0" xfId="11" applyNumberFormat="1" applyFont="1"/>
    <xf numFmtId="49" fontId="0" fillId="0" borderId="0" xfId="0" applyNumberFormat="1"/>
    <xf numFmtId="0" fontId="96" fillId="0" borderId="0" xfId="0" applyFont="1"/>
    <xf numFmtId="0" fontId="96" fillId="0" borderId="0" xfId="0" applyFont="1" applyAlignment="1">
      <alignment horizontal="center"/>
    </xf>
    <xf numFmtId="0" fontId="49" fillId="0" borderId="0" xfId="0" applyFont="1" applyAlignment="1">
      <alignment horizontal="center" vertical="center"/>
    </xf>
    <xf numFmtId="0" fontId="56" fillId="14" borderId="96" xfId="0" applyFont="1" applyFill="1" applyBorder="1" applyAlignment="1">
      <alignment horizontal="centerContinuous" vertical="center" wrapText="1" readingOrder="1"/>
    </xf>
    <xf numFmtId="0" fontId="56" fillId="14" borderId="73" xfId="0" applyFont="1" applyFill="1" applyBorder="1" applyAlignment="1">
      <alignment horizontal="centerContinuous" vertical="center" wrapText="1" readingOrder="1"/>
    </xf>
    <xf numFmtId="0" fontId="56" fillId="14" borderId="65" xfId="0" applyFont="1" applyFill="1" applyBorder="1" applyAlignment="1">
      <alignment horizontal="centerContinuous" vertical="center" wrapText="1" readingOrder="1"/>
    </xf>
    <xf numFmtId="0" fontId="48" fillId="20" borderId="0" xfId="0" applyFont="1" applyFill="1" applyAlignment="1">
      <alignment horizontal="centerContinuous" vertical="center" wrapText="1" readingOrder="1"/>
    </xf>
    <xf numFmtId="0" fontId="48" fillId="0" borderId="0" xfId="0" applyFont="1" applyAlignment="1">
      <alignment horizontal="centerContinuous" vertical="center" wrapText="1" readingOrder="1"/>
    </xf>
    <xf numFmtId="0" fontId="48" fillId="13" borderId="0" xfId="0" applyFont="1" applyFill="1" applyAlignment="1">
      <alignment horizontal="centerContinuous" vertical="center" wrapText="1" readingOrder="1"/>
    </xf>
    <xf numFmtId="0" fontId="48" fillId="0" borderId="88" xfId="0" applyFont="1" applyBorder="1" applyAlignment="1">
      <alignment horizontal="centerContinuous" vertical="center" wrapText="1" readingOrder="1"/>
    </xf>
    <xf numFmtId="9" fontId="48" fillId="0" borderId="0" xfId="0" applyNumberFormat="1" applyFont="1" applyAlignment="1">
      <alignment horizontal="centerContinuous" vertical="center" wrapText="1" readingOrder="1"/>
    </xf>
    <xf numFmtId="165" fontId="48" fillId="0" borderId="0" xfId="11" applyFont="1" applyAlignment="1">
      <alignment horizontal="centerContinuous" vertical="center" wrapText="1" readingOrder="1"/>
    </xf>
    <xf numFmtId="0" fontId="56" fillId="14" borderId="204" xfId="0" applyFont="1" applyFill="1" applyBorder="1" applyAlignment="1">
      <alignment horizontal="centerContinuous" vertical="center" wrapText="1" readingOrder="1"/>
    </xf>
    <xf numFmtId="0" fontId="56" fillId="14" borderId="205" xfId="0" applyFont="1" applyFill="1" applyBorder="1" applyAlignment="1">
      <alignment horizontal="centerContinuous" vertical="center" wrapText="1" readingOrder="1"/>
    </xf>
    <xf numFmtId="0" fontId="56" fillId="14" borderId="206" xfId="0" applyFont="1" applyFill="1" applyBorder="1" applyAlignment="1">
      <alignment horizontal="centerContinuous" vertical="center" wrapText="1" readingOrder="1"/>
    </xf>
    <xf numFmtId="0" fontId="56" fillId="14" borderId="39" xfId="0" applyFont="1" applyFill="1" applyBorder="1" applyAlignment="1">
      <alignment horizontal="centerContinuous" vertical="center" wrapText="1" readingOrder="1"/>
    </xf>
    <xf numFmtId="0" fontId="56" fillId="14" borderId="55" xfId="0" applyFont="1" applyFill="1" applyBorder="1" applyAlignment="1">
      <alignment horizontal="centerContinuous" vertical="center" wrapText="1" readingOrder="1"/>
    </xf>
    <xf numFmtId="0" fontId="56" fillId="14" borderId="92" xfId="0" applyFont="1" applyFill="1" applyBorder="1" applyAlignment="1">
      <alignment horizontal="centerContinuous" vertical="center" wrapText="1" readingOrder="1"/>
    </xf>
    <xf numFmtId="0" fontId="56" fillId="14" borderId="91" xfId="0" applyFont="1" applyFill="1" applyBorder="1" applyAlignment="1">
      <alignment horizontal="centerContinuous" vertical="center" wrapText="1" readingOrder="1"/>
    </xf>
    <xf numFmtId="9" fontId="59" fillId="15" borderId="0" xfId="1" applyFont="1" applyFill="1" applyBorder="1" applyAlignment="1">
      <alignment horizontal="right"/>
    </xf>
    <xf numFmtId="9" fontId="59" fillId="15" borderId="60" xfId="1" applyFont="1" applyFill="1" applyBorder="1" applyAlignment="1">
      <alignment horizontal="right"/>
    </xf>
    <xf numFmtId="9" fontId="59" fillId="15" borderId="212" xfId="1" applyFont="1" applyFill="1" applyBorder="1" applyAlignment="1">
      <alignment horizontal="right"/>
    </xf>
    <xf numFmtId="9" fontId="73" fillId="15" borderId="70" xfId="1" applyFont="1" applyFill="1" applyBorder="1" applyAlignment="1">
      <alignment horizontal="right"/>
    </xf>
    <xf numFmtId="0" fontId="44" fillId="14" borderId="76" xfId="0" applyFont="1" applyFill="1" applyBorder="1" applyAlignment="1">
      <alignment horizontal="centerContinuous" vertical="center"/>
    </xf>
    <xf numFmtId="0" fontId="44" fillId="14" borderId="75" xfId="0" applyFont="1" applyFill="1" applyBorder="1" applyAlignment="1">
      <alignment horizontal="centerContinuous" vertical="center"/>
    </xf>
    <xf numFmtId="0" fontId="44" fillId="14" borderId="77" xfId="0" applyFont="1" applyFill="1" applyBorder="1" applyAlignment="1">
      <alignment horizontal="centerContinuous" vertical="center"/>
    </xf>
    <xf numFmtId="171" fontId="48" fillId="12" borderId="0" xfId="11" applyNumberFormat="1" applyFont="1" applyFill="1"/>
    <xf numFmtId="0" fontId="58" fillId="20" borderId="0" xfId="0" applyFont="1" applyFill="1"/>
    <xf numFmtId="0" fontId="58" fillId="0" borderId="0" xfId="0" applyFont="1"/>
    <xf numFmtId="0" fontId="58" fillId="13" borderId="0" xfId="0" applyFont="1" applyFill="1"/>
    <xf numFmtId="0" fontId="58" fillId="0" borderId="0" xfId="0" applyFont="1" applyAlignment="1">
      <alignment horizontal="left" vertical="center" wrapText="1" readingOrder="1"/>
    </xf>
    <xf numFmtId="166" fontId="55" fillId="0" borderId="62" xfId="0" applyNumberFormat="1" applyFont="1" applyBorder="1" applyAlignment="1">
      <alignment horizontal="center" vertical="center" wrapText="1" readingOrder="1"/>
    </xf>
    <xf numFmtId="166" fontId="55" fillId="13" borderId="82" xfId="0" applyNumberFormat="1" applyFont="1" applyFill="1" applyBorder="1" applyAlignment="1">
      <alignment horizontal="center" vertical="center" wrapText="1" readingOrder="1"/>
    </xf>
    <xf numFmtId="177" fontId="55" fillId="0" borderId="81" xfId="0" applyNumberFormat="1" applyFont="1" applyBorder="1" applyAlignment="1">
      <alignment horizontal="center" vertical="center" wrapText="1" readingOrder="1"/>
    </xf>
    <xf numFmtId="17" fontId="69" fillId="14" borderId="213" xfId="0" quotePrefix="1" applyNumberFormat="1" applyFont="1" applyFill="1" applyBorder="1" applyAlignment="1">
      <alignment horizontal="center" vertical="center" wrapText="1" readingOrder="1"/>
    </xf>
    <xf numFmtId="17" fontId="69" fillId="14" borderId="69" xfId="0" quotePrefix="1" applyNumberFormat="1" applyFont="1" applyFill="1" applyBorder="1" applyAlignment="1">
      <alignment horizontal="center" vertical="center" wrapText="1" readingOrder="1"/>
    </xf>
    <xf numFmtId="0" fontId="0" fillId="0" borderId="63" xfId="0" applyBorder="1"/>
    <xf numFmtId="0" fontId="33" fillId="0" borderId="59" xfId="32" applyFont="1" applyBorder="1" applyAlignment="1" applyProtection="1">
      <alignment horizontal="left" vertical="top"/>
      <protection locked="0"/>
    </xf>
    <xf numFmtId="0" fontId="33" fillId="0" borderId="59" xfId="32" applyFont="1" applyBorder="1" applyAlignment="1" applyProtection="1">
      <alignment horizontal="center" vertical="top"/>
      <protection locked="0"/>
    </xf>
    <xf numFmtId="0" fontId="33" fillId="0" borderId="59" xfId="32" applyFont="1" applyBorder="1" applyAlignment="1" applyProtection="1">
      <alignment horizontal="left"/>
      <protection locked="0"/>
    </xf>
    <xf numFmtId="0" fontId="32" fillId="0" borderId="59" xfId="21" applyNumberFormat="1" applyFont="1" applyFill="1" applyBorder="1" applyAlignment="1" applyProtection="1">
      <alignment horizontal="center"/>
      <protection locked="0"/>
    </xf>
    <xf numFmtId="0" fontId="32" fillId="0" borderId="59" xfId="21" applyNumberFormat="1" applyFont="1" applyFill="1" applyBorder="1" applyAlignment="1">
      <alignment horizontal="center"/>
    </xf>
    <xf numFmtId="9" fontId="32" fillId="0" borderId="59" xfId="21" applyNumberFormat="1" applyFont="1" applyFill="1" applyBorder="1" applyAlignment="1" applyProtection="1">
      <alignment horizontal="center"/>
      <protection locked="0"/>
    </xf>
    <xf numFmtId="0" fontId="32" fillId="0" borderId="59" xfId="21" applyNumberFormat="1" applyFont="1" applyFill="1" applyBorder="1" applyAlignment="1" applyProtection="1">
      <alignment horizontal="left"/>
      <protection locked="0"/>
    </xf>
    <xf numFmtId="0" fontId="32" fillId="0" borderId="59" xfId="21" applyNumberFormat="1" applyFont="1" applyFill="1" applyBorder="1"/>
    <xf numFmtId="0" fontId="0" fillId="0" borderId="0" xfId="0" applyAlignment="1">
      <alignment horizontal="centerContinuous" vertical="center"/>
    </xf>
    <xf numFmtId="9" fontId="32" fillId="0" borderId="59" xfId="21" applyNumberFormat="1" applyFont="1" applyFill="1" applyBorder="1"/>
    <xf numFmtId="0" fontId="28" fillId="24" borderId="0" xfId="0" applyFont="1" applyFill="1"/>
    <xf numFmtId="165" fontId="37" fillId="14" borderId="0" xfId="11" applyFont="1" applyFill="1" applyAlignment="1">
      <alignment horizontal="center"/>
    </xf>
    <xf numFmtId="0" fontId="37" fillId="14" borderId="0" xfId="0" applyFont="1" applyFill="1" applyAlignment="1">
      <alignment horizontal="center"/>
    </xf>
    <xf numFmtId="165" fontId="26" fillId="13" borderId="0" xfId="11" applyFont="1" applyFill="1"/>
    <xf numFmtId="49" fontId="96" fillId="13" borderId="0" xfId="0" applyNumberFormat="1" applyFont="1" applyFill="1"/>
    <xf numFmtId="0" fontId="98" fillId="0" borderId="0" xfId="0" applyFont="1" applyAlignment="1">
      <alignment horizontal="left" vertical="center" readingOrder="1"/>
    </xf>
    <xf numFmtId="4" fontId="0" fillId="0" borderId="0" xfId="0" quotePrefix="1" applyNumberFormat="1"/>
    <xf numFmtId="165" fontId="0" fillId="0" borderId="0" xfId="11" applyFont="1" applyAlignment="1">
      <alignment vertical="center" wrapText="1"/>
    </xf>
    <xf numFmtId="165" fontId="0" fillId="0" borderId="0" xfId="1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0" fillId="14" borderId="214" xfId="0" applyFont="1" applyFill="1" applyBorder="1"/>
    <xf numFmtId="186" fontId="39" fillId="13" borderId="214" xfId="22" applyNumberFormat="1" applyFont="1" applyFill="1" applyBorder="1" applyAlignment="1">
      <alignment horizontal="left"/>
    </xf>
    <xf numFmtId="0" fontId="29" fillId="0" borderId="0" xfId="0" applyFont="1" applyAlignment="1">
      <alignment horizontal="left" indent="1"/>
    </xf>
    <xf numFmtId="0" fontId="39" fillId="13" borderId="214" xfId="0" applyFont="1" applyFill="1" applyBorder="1" applyAlignment="1">
      <alignment horizontal="center"/>
    </xf>
    <xf numFmtId="0" fontId="39" fillId="13" borderId="215" xfId="0" applyFont="1" applyFill="1" applyBorder="1" applyAlignment="1">
      <alignment horizontal="center"/>
    </xf>
    <xf numFmtId="0" fontId="39" fillId="13" borderId="216" xfId="0" applyFont="1" applyFill="1" applyBorder="1" applyAlignment="1">
      <alignment horizontal="center"/>
    </xf>
    <xf numFmtId="171" fontId="29" fillId="0" borderId="0" xfId="0" applyNumberFormat="1" applyFont="1"/>
    <xf numFmtId="17" fontId="69" fillId="14" borderId="71" xfId="0" quotePrefix="1" applyNumberFormat="1" applyFont="1" applyFill="1" applyBorder="1" applyAlignment="1">
      <alignment horizontal="center" vertical="center" wrapText="1" readingOrder="1"/>
    </xf>
    <xf numFmtId="17" fontId="69" fillId="14" borderId="76" xfId="0" applyNumberFormat="1" applyFont="1" applyFill="1" applyBorder="1" applyAlignment="1">
      <alignment horizontal="center" vertical="center" wrapText="1" readingOrder="1"/>
    </xf>
    <xf numFmtId="166" fontId="66" fillId="11" borderId="209" xfId="21" applyNumberFormat="1" applyFont="1" applyFill="1" applyBorder="1" applyAlignment="1">
      <alignment horizontal="center" vertical="center" wrapText="1" readingOrder="1"/>
    </xf>
    <xf numFmtId="166" fontId="66" fillId="0" borderId="67" xfId="21" applyNumberFormat="1" applyFont="1" applyBorder="1" applyAlignment="1">
      <alignment horizontal="center" vertical="center" wrapText="1" readingOrder="1"/>
    </xf>
    <xf numFmtId="43" fontId="0" fillId="0" borderId="0" xfId="13" applyFont="1" applyBorder="1" applyAlignment="1">
      <alignment horizontal="left"/>
    </xf>
    <xf numFmtId="0" fontId="93" fillId="0" borderId="0" xfId="0" applyFont="1" applyAlignment="1">
      <alignment horizontal="centerContinuous" vertical="center"/>
    </xf>
    <xf numFmtId="9" fontId="73" fillId="15" borderId="0" xfId="1" applyFont="1" applyFill="1" applyBorder="1" applyAlignment="1">
      <alignment horizontal="right"/>
    </xf>
    <xf numFmtId="9" fontId="59" fillId="15" borderId="70" xfId="1" applyFont="1" applyFill="1" applyBorder="1" applyAlignment="1">
      <alignment horizontal="right"/>
    </xf>
    <xf numFmtId="9" fontId="73" fillId="15" borderId="120" xfId="1" applyFont="1" applyFill="1" applyBorder="1" applyAlignment="1">
      <alignment horizontal="right"/>
    </xf>
    <xf numFmtId="9" fontId="59" fillId="15" borderId="69" xfId="1" applyFont="1" applyFill="1" applyBorder="1" applyAlignment="1">
      <alignment horizontal="right"/>
    </xf>
    <xf numFmtId="171" fontId="0" fillId="0" borderId="0" xfId="11" applyNumberFormat="1" applyFont="1" applyFill="1"/>
    <xf numFmtId="0" fontId="55" fillId="0" borderId="217" xfId="0" applyFont="1" applyBorder="1" applyAlignment="1">
      <alignment horizontal="center" vertical="center" wrapText="1" readingOrder="1"/>
    </xf>
    <xf numFmtId="177" fontId="55" fillId="0" borderId="218" xfId="0" applyNumberFormat="1" applyFont="1" applyBorder="1" applyAlignment="1">
      <alignment horizontal="center" vertical="center" wrapText="1" readingOrder="1"/>
    </xf>
    <xf numFmtId="177" fontId="54" fillId="0" borderId="218" xfId="0" applyNumberFormat="1" applyFont="1" applyBorder="1" applyAlignment="1">
      <alignment horizontal="center" vertical="center" wrapText="1" readingOrder="1"/>
    </xf>
    <xf numFmtId="177" fontId="54" fillId="0" borderId="219" xfId="0" applyNumberFormat="1" applyFont="1" applyBorder="1" applyAlignment="1">
      <alignment horizontal="center" vertical="center" wrapText="1" readingOrder="1"/>
    </xf>
    <xf numFmtId="177" fontId="55" fillId="0" borderId="219" xfId="0" applyNumberFormat="1" applyFont="1" applyBorder="1" applyAlignment="1">
      <alignment horizontal="center" vertical="center" wrapText="1" readingOrder="1"/>
    </xf>
    <xf numFmtId="169" fontId="101" fillId="0" borderId="0" xfId="0" applyNumberFormat="1" applyFont="1" applyAlignment="1">
      <alignment horizontal="center"/>
    </xf>
    <xf numFmtId="0" fontId="102" fillId="0" borderId="0" xfId="0" applyFont="1" applyAlignment="1">
      <alignment horizontal="center"/>
    </xf>
    <xf numFmtId="0" fontId="70" fillId="0" borderId="78" xfId="0" applyFont="1" applyBorder="1" applyAlignment="1">
      <alignment horizontal="left" vertical="center" wrapText="1" readingOrder="1"/>
    </xf>
    <xf numFmtId="0" fontId="69" fillId="22" borderId="64" xfId="0" applyFont="1" applyFill="1" applyBorder="1" applyAlignment="1">
      <alignment horizontal="left" vertical="center" wrapText="1" readingOrder="1"/>
    </xf>
    <xf numFmtId="0" fontId="67" fillId="3" borderId="72" xfId="0" applyFont="1" applyFill="1" applyBorder="1" applyAlignment="1">
      <alignment horizontal="left" vertical="center" readingOrder="1"/>
    </xf>
    <xf numFmtId="0" fontId="67" fillId="3" borderId="64" xfId="0" applyFont="1" applyFill="1" applyBorder="1" applyAlignment="1">
      <alignment horizontal="left" vertical="center" readingOrder="1"/>
    </xf>
    <xf numFmtId="0" fontId="66" fillId="11" borderId="80" xfId="0" applyFont="1" applyFill="1" applyBorder="1" applyAlignment="1">
      <alignment horizontal="left" vertical="center" wrapText="1" readingOrder="1"/>
    </xf>
    <xf numFmtId="0" fontId="66" fillId="0" borderId="68" xfId="0" applyFont="1" applyBorder="1" applyAlignment="1">
      <alignment horizontal="left" vertical="center" wrapText="1" readingOrder="1"/>
    </xf>
    <xf numFmtId="0" fontId="103" fillId="11" borderId="0" xfId="0" applyFont="1" applyFill="1" applyAlignment="1">
      <alignment horizontal="left" vertical="center" wrapText="1" readingOrder="1"/>
    </xf>
    <xf numFmtId="177" fontId="103" fillId="0" borderId="0" xfId="0" applyNumberFormat="1" applyFont="1" applyAlignment="1">
      <alignment horizontal="center" vertical="center" wrapText="1" readingOrder="1"/>
    </xf>
    <xf numFmtId="169" fontId="101" fillId="0" borderId="71" xfId="0" applyNumberFormat="1" applyFont="1" applyBorder="1" applyAlignment="1">
      <alignment horizontal="center"/>
    </xf>
    <xf numFmtId="169" fontId="101" fillId="0" borderId="70" xfId="0" applyNumberFormat="1" applyFont="1" applyBorder="1" applyAlignment="1">
      <alignment horizontal="center"/>
    </xf>
    <xf numFmtId="169" fontId="101" fillId="0" borderId="69" xfId="0" applyNumberFormat="1" applyFont="1" applyBorder="1" applyAlignment="1">
      <alignment horizontal="center"/>
    </xf>
    <xf numFmtId="170" fontId="67" fillId="35" borderId="0" xfId="21" applyNumberFormat="1" applyFont="1" applyFill="1" applyBorder="1" applyAlignment="1">
      <alignment horizontal="center" vertical="center" readingOrder="1"/>
    </xf>
    <xf numFmtId="170" fontId="66" fillId="11" borderId="0" xfId="21" applyNumberFormat="1" applyFont="1" applyFill="1" applyBorder="1" applyAlignment="1">
      <alignment horizontal="center" vertical="center" wrapText="1" readingOrder="1"/>
    </xf>
    <xf numFmtId="170" fontId="66" fillId="11" borderId="60" xfId="21" applyNumberFormat="1" applyFont="1" applyFill="1" applyBorder="1" applyAlignment="1">
      <alignment horizontal="center" vertical="center" wrapText="1" readingOrder="1"/>
    </xf>
    <xf numFmtId="0" fontId="30" fillId="0" borderId="0" xfId="0" applyFont="1" applyAlignment="1">
      <alignment horizontal="centerContinuous" vertical="center"/>
    </xf>
    <xf numFmtId="165" fontId="0" fillId="0" borderId="0" xfId="11" applyFont="1" applyAlignment="1">
      <alignment horizontal="centerContinuous" vertical="center"/>
    </xf>
    <xf numFmtId="0" fontId="13" fillId="6" borderId="157" xfId="0" applyFont="1" applyFill="1" applyBorder="1" applyAlignment="1">
      <alignment horizontal="left" wrapText="1" readingOrder="1"/>
    </xf>
    <xf numFmtId="0" fontId="13" fillId="7" borderId="159" xfId="0" applyFont="1" applyFill="1" applyBorder="1" applyAlignment="1">
      <alignment horizontal="left" wrapText="1" readingOrder="1"/>
    </xf>
    <xf numFmtId="0" fontId="13" fillId="7" borderId="74" xfId="0" applyFont="1" applyFill="1" applyBorder="1" applyAlignment="1">
      <alignment horizontal="left" wrapText="1" readingOrder="1"/>
    </xf>
    <xf numFmtId="0" fontId="14" fillId="0" borderId="74" xfId="0" applyFont="1" applyBorder="1" applyAlignment="1">
      <alignment horizontal="left" wrapText="1" readingOrder="1"/>
    </xf>
    <xf numFmtId="0" fontId="14" fillId="0" borderId="67" xfId="0" applyFont="1" applyBorder="1" applyAlignment="1">
      <alignment horizontal="left" wrapText="1" readingOrder="1"/>
    </xf>
    <xf numFmtId="0" fontId="13" fillId="5" borderId="220" xfId="0" applyFont="1" applyFill="1" applyBorder="1" applyAlignment="1">
      <alignment horizontal="center" wrapText="1" readingOrder="1"/>
    </xf>
    <xf numFmtId="0" fontId="14" fillId="0" borderId="159" xfId="0" applyFont="1" applyBorder="1" applyAlignment="1">
      <alignment horizontal="left" wrapText="1" readingOrder="1"/>
    </xf>
    <xf numFmtId="166" fontId="13" fillId="6" borderId="157" xfId="0" applyNumberFormat="1" applyFont="1" applyFill="1" applyBorder="1" applyAlignment="1">
      <alignment horizontal="center" wrapText="1" readingOrder="1"/>
    </xf>
    <xf numFmtId="166" fontId="13" fillId="6" borderId="221" xfId="0" applyNumberFormat="1" applyFont="1" applyFill="1" applyBorder="1" applyAlignment="1">
      <alignment horizontal="center" wrapText="1" readingOrder="1"/>
    </xf>
    <xf numFmtId="166" fontId="14" fillId="0" borderId="159" xfId="0" applyNumberFormat="1" applyFont="1" applyBorder="1" applyAlignment="1">
      <alignment horizontal="center" wrapText="1" readingOrder="1"/>
    </xf>
    <xf numFmtId="166" fontId="14" fillId="0" borderId="222" xfId="0" applyNumberFormat="1" applyFont="1" applyBorder="1" applyAlignment="1">
      <alignment horizontal="center" wrapText="1" readingOrder="1"/>
    </xf>
    <xf numFmtId="166" fontId="14" fillId="0" borderId="223" xfId="0" applyNumberFormat="1" applyFont="1" applyBorder="1" applyAlignment="1">
      <alignment horizontal="center" wrapText="1" readingOrder="1"/>
    </xf>
    <xf numFmtId="166" fontId="14" fillId="0" borderId="224" xfId="0" applyNumberFormat="1" applyFont="1" applyBorder="1" applyAlignment="1">
      <alignment horizontal="center" wrapText="1" readingOrder="1"/>
    </xf>
    <xf numFmtId="165" fontId="0" fillId="12" borderId="0" xfId="11" applyFont="1" applyFill="1"/>
    <xf numFmtId="187" fontId="0" fillId="0" borderId="0" xfId="0" applyNumberFormat="1"/>
    <xf numFmtId="0" fontId="0" fillId="0" borderId="0" xfId="0" applyAlignment="1">
      <alignment vertical="center"/>
    </xf>
    <xf numFmtId="0" fontId="35" fillId="14" borderId="0" xfId="0" applyFont="1" applyFill="1" applyAlignment="1">
      <alignment horizontal="center"/>
    </xf>
    <xf numFmtId="0" fontId="35" fillId="37" borderId="0" xfId="0" applyFont="1" applyFill="1" applyAlignment="1">
      <alignment horizontal="center"/>
    </xf>
    <xf numFmtId="14" fontId="48" fillId="0" borderId="0" xfId="0" applyNumberFormat="1" applyFont="1"/>
    <xf numFmtId="8" fontId="48" fillId="0" borderId="0" xfId="0" applyNumberFormat="1" applyFont="1"/>
    <xf numFmtId="0" fontId="48" fillId="0" borderId="0" xfId="0" quotePrefix="1" applyFont="1"/>
    <xf numFmtId="166" fontId="42" fillId="0" borderId="114" xfId="14" applyNumberFormat="1" applyFont="1" applyFill="1" applyBorder="1" applyAlignment="1" applyProtection="1">
      <alignment horizontal="center" vertical="center"/>
      <protection locked="0"/>
    </xf>
    <xf numFmtId="0" fontId="42" fillId="0" borderId="72" xfId="15" applyFont="1" applyBorder="1" applyAlignment="1">
      <alignment horizontal="left" vertical="center"/>
    </xf>
    <xf numFmtId="0" fontId="42" fillId="0" borderId="78" xfId="15" applyFont="1" applyBorder="1" applyAlignment="1">
      <alignment vertical="center"/>
    </xf>
    <xf numFmtId="166" fontId="42" fillId="0" borderId="78" xfId="14" applyNumberFormat="1" applyFont="1" applyFill="1" applyBorder="1" applyAlignment="1" applyProtection="1">
      <alignment horizontal="center" vertical="center"/>
      <protection locked="0"/>
    </xf>
    <xf numFmtId="8" fontId="0" fillId="0" borderId="0" xfId="0" applyNumberFormat="1"/>
    <xf numFmtId="169" fontId="44" fillId="14" borderId="78" xfId="16" applyNumberFormat="1" applyFont="1" applyFill="1" applyBorder="1" applyAlignment="1">
      <alignment horizontal="center" vertical="center"/>
    </xf>
    <xf numFmtId="166" fontId="42" fillId="0" borderId="64" xfId="14" applyNumberFormat="1" applyFont="1" applyFill="1" applyBorder="1" applyAlignment="1" applyProtection="1">
      <alignment horizontal="center" vertical="center"/>
      <protection locked="0"/>
    </xf>
    <xf numFmtId="166" fontId="42" fillId="13" borderId="68" xfId="14" applyNumberFormat="1" applyFont="1" applyFill="1" applyBorder="1" applyAlignment="1" applyProtection="1">
      <alignment horizontal="center" vertical="center"/>
      <protection locked="0"/>
    </xf>
    <xf numFmtId="176" fontId="44" fillId="14" borderId="77" xfId="16" quotePrefix="1" applyNumberFormat="1" applyFont="1" applyFill="1" applyBorder="1" applyAlignment="1">
      <alignment horizontal="center" vertical="center"/>
    </xf>
    <xf numFmtId="166" fontId="104" fillId="0" borderId="63" xfId="14" applyNumberFormat="1" applyFont="1" applyFill="1" applyBorder="1" applyAlignment="1" applyProtection="1">
      <alignment horizontal="center" vertical="center"/>
      <protection locked="0"/>
    </xf>
    <xf numFmtId="166" fontId="33" fillId="0" borderId="0" xfId="14" applyNumberFormat="1" applyFont="1" applyFill="1" applyBorder="1" applyAlignment="1" applyProtection="1">
      <alignment horizontal="center" vertical="center"/>
      <protection locked="0"/>
    </xf>
    <xf numFmtId="176" fontId="105" fillId="0" borderId="0" xfId="16" quotePrefix="1" applyNumberFormat="1" applyFont="1" applyAlignment="1">
      <alignment horizontal="center" vertical="center"/>
    </xf>
    <xf numFmtId="0" fontId="33" fillId="0" borderId="0" xfId="15" applyFont="1" applyAlignment="1">
      <alignment vertical="center"/>
    </xf>
    <xf numFmtId="166" fontId="33" fillId="38" borderId="0" xfId="14" applyNumberFormat="1" applyFont="1" applyFill="1" applyBorder="1" applyAlignment="1" applyProtection="1">
      <alignment horizontal="center" vertical="center"/>
      <protection locked="0"/>
    </xf>
    <xf numFmtId="0" fontId="33" fillId="38" borderId="0" xfId="15" applyFont="1" applyFill="1" applyAlignment="1">
      <alignment vertical="center"/>
    </xf>
    <xf numFmtId="176" fontId="106" fillId="15" borderId="0" xfId="16" applyNumberFormat="1" applyFont="1" applyFill="1" applyAlignment="1">
      <alignment horizontal="center" vertical="center"/>
    </xf>
    <xf numFmtId="166" fontId="106" fillId="15" borderId="0" xfId="14" applyNumberFormat="1" applyFont="1" applyFill="1" applyBorder="1" applyAlignment="1" applyProtection="1">
      <alignment horizontal="center" vertical="center"/>
      <protection locked="0"/>
    </xf>
    <xf numFmtId="166" fontId="42" fillId="28" borderId="78" xfId="14" applyNumberFormat="1" applyFont="1" applyFill="1" applyBorder="1" applyAlignment="1" applyProtection="1">
      <alignment horizontal="center" vertical="center"/>
      <protection locked="0"/>
    </xf>
    <xf numFmtId="0" fontId="96" fillId="0" borderId="71" xfId="0" applyFont="1" applyBorder="1"/>
    <xf numFmtId="0" fontId="0" fillId="0" borderId="69" xfId="0" applyBorder="1"/>
    <xf numFmtId="0" fontId="96" fillId="0" borderId="63" xfId="0" applyFont="1" applyBorder="1"/>
    <xf numFmtId="0" fontId="0" fillId="0" borderId="66" xfId="0" applyBorder="1"/>
    <xf numFmtId="165" fontId="0" fillId="0" borderId="70" xfId="11" applyFont="1" applyBorder="1"/>
    <xf numFmtId="165" fontId="0" fillId="0" borderId="69" xfId="11" applyFont="1" applyBorder="1"/>
    <xf numFmtId="165" fontId="0" fillId="0" borderId="0" xfId="11" applyFont="1" applyBorder="1"/>
    <xf numFmtId="171" fontId="0" fillId="0" borderId="0" xfId="11" applyNumberFormat="1" applyFont="1" applyBorder="1"/>
    <xf numFmtId="171" fontId="0" fillId="0" borderId="63" xfId="11" applyNumberFormat="1" applyFont="1" applyBorder="1"/>
    <xf numFmtId="171" fontId="0" fillId="0" borderId="60" xfId="11" applyNumberFormat="1" applyFont="1" applyBorder="1"/>
    <xf numFmtId="171" fontId="0" fillId="0" borderId="66" xfId="11" applyNumberFormat="1" applyFont="1" applyBorder="1"/>
    <xf numFmtId="0" fontId="96" fillId="0" borderId="70" xfId="0" applyFont="1" applyBorder="1"/>
    <xf numFmtId="0" fontId="96" fillId="0" borderId="74" xfId="0" applyFont="1" applyBorder="1"/>
    <xf numFmtId="9" fontId="0" fillId="0" borderId="0" xfId="1" applyFont="1" applyBorder="1"/>
    <xf numFmtId="171" fontId="0" fillId="0" borderId="63" xfId="11" applyNumberFormat="1" applyFont="1" applyFill="1" applyBorder="1"/>
    <xf numFmtId="165" fontId="0" fillId="0" borderId="63" xfId="11" applyFont="1" applyBorder="1"/>
    <xf numFmtId="173" fontId="0" fillId="0" borderId="60" xfId="0" applyNumberFormat="1" applyBorder="1"/>
    <xf numFmtId="171" fontId="43" fillId="0" borderId="63" xfId="11" applyNumberFormat="1" applyFont="1" applyFill="1" applyBorder="1"/>
    <xf numFmtId="0" fontId="0" fillId="0" borderId="71" xfId="0" applyBorder="1"/>
    <xf numFmtId="173" fontId="0" fillId="0" borderId="74" xfId="0" applyNumberFormat="1" applyBorder="1"/>
    <xf numFmtId="49" fontId="0" fillId="0" borderId="60" xfId="0" applyNumberFormat="1" applyBorder="1"/>
    <xf numFmtId="165" fontId="0" fillId="0" borderId="71" xfId="11" applyFont="1" applyBorder="1"/>
    <xf numFmtId="171" fontId="0" fillId="0" borderId="74" xfId="11" applyNumberFormat="1" applyFont="1" applyBorder="1"/>
    <xf numFmtId="171" fontId="0" fillId="0" borderId="67" xfId="11" applyNumberFormat="1" applyFont="1" applyBorder="1"/>
    <xf numFmtId="0" fontId="48" fillId="0" borderId="59" xfId="0" applyFont="1" applyBorder="1"/>
    <xf numFmtId="166" fontId="48" fillId="0" borderId="59" xfId="0" applyNumberFormat="1" applyFont="1" applyBorder="1"/>
    <xf numFmtId="176" fontId="44" fillId="14" borderId="229" xfId="16" quotePrefix="1" applyNumberFormat="1" applyFont="1" applyFill="1" applyBorder="1" applyAlignment="1">
      <alignment horizontal="center" vertical="center"/>
    </xf>
    <xf numFmtId="166" fontId="48" fillId="0" borderId="236" xfId="0" applyNumberFormat="1" applyFont="1" applyBorder="1"/>
    <xf numFmtId="166" fontId="48" fillId="0" borderId="230" xfId="0" applyNumberFormat="1" applyFont="1" applyBorder="1"/>
    <xf numFmtId="176" fontId="44" fillId="14" borderId="225" xfId="16" quotePrefix="1" applyNumberFormat="1" applyFont="1" applyFill="1" applyBorder="1" applyAlignment="1">
      <alignment horizontal="center" vertical="center"/>
    </xf>
    <xf numFmtId="166" fontId="48" fillId="0" borderId="226" xfId="0" applyNumberFormat="1" applyFont="1" applyBorder="1"/>
    <xf numFmtId="176" fontId="44" fillId="14" borderId="227" xfId="16" quotePrefix="1" applyNumberFormat="1" applyFont="1" applyFill="1" applyBorder="1" applyAlignment="1">
      <alignment horizontal="center" vertical="center"/>
    </xf>
    <xf numFmtId="0" fontId="48" fillId="0" borderId="237" xfId="0" applyFont="1" applyBorder="1"/>
    <xf numFmtId="166" fontId="48" fillId="0" borderId="237" xfId="0" applyNumberFormat="1" applyFont="1" applyBorder="1"/>
    <xf numFmtId="166" fontId="48" fillId="0" borderId="228" xfId="0" applyNumberFormat="1" applyFont="1" applyBorder="1"/>
    <xf numFmtId="0" fontId="49" fillId="0" borderId="71" xfId="0" applyFont="1" applyBorder="1" applyAlignment="1">
      <alignment horizontal="center" vertical="center"/>
    </xf>
    <xf numFmtId="0" fontId="49" fillId="0" borderId="70" xfId="0" applyFont="1" applyBorder="1" applyAlignment="1">
      <alignment horizontal="center" vertical="center"/>
    </xf>
    <xf numFmtId="0" fontId="49" fillId="13" borderId="76" xfId="0" applyFont="1" applyFill="1" applyBorder="1" applyAlignment="1">
      <alignment horizontal="center" vertical="center"/>
    </xf>
    <xf numFmtId="0" fontId="49" fillId="13" borderId="77" xfId="0" applyFont="1" applyFill="1" applyBorder="1" applyAlignment="1">
      <alignment horizontal="center" vertical="center"/>
    </xf>
    <xf numFmtId="166" fontId="48" fillId="13" borderId="233" xfId="0" applyNumberFormat="1" applyFont="1" applyFill="1" applyBorder="1" applyAlignment="1">
      <alignment horizontal="center" vertical="center"/>
    </xf>
    <xf numFmtId="166" fontId="48" fillId="13" borderId="225" xfId="0" applyNumberFormat="1" applyFont="1" applyFill="1" applyBorder="1" applyAlignment="1">
      <alignment horizontal="center" vertical="center"/>
    </xf>
    <xf numFmtId="166" fontId="48" fillId="13" borderId="227" xfId="0" applyNumberFormat="1" applyFont="1" applyFill="1" applyBorder="1" applyAlignment="1">
      <alignment horizontal="center" vertical="center"/>
    </xf>
    <xf numFmtId="9" fontId="48" fillId="13" borderId="232" xfId="1" applyFont="1" applyFill="1" applyBorder="1" applyAlignment="1">
      <alignment horizontal="center" vertical="center"/>
    </xf>
    <xf numFmtId="9" fontId="48" fillId="13" borderId="226" xfId="1" applyFont="1" applyFill="1" applyBorder="1" applyAlignment="1">
      <alignment horizontal="center" vertical="center"/>
    </xf>
    <xf numFmtId="9" fontId="48" fillId="13" borderId="228" xfId="1" applyFont="1" applyFill="1" applyBorder="1" applyAlignment="1">
      <alignment horizontal="center" vertical="center"/>
    </xf>
    <xf numFmtId="0" fontId="44" fillId="39" borderId="72" xfId="15" applyFont="1" applyFill="1" applyBorder="1" applyAlignment="1">
      <alignment horizontal="left" vertical="center"/>
    </xf>
    <xf numFmtId="0" fontId="35" fillId="14" borderId="0" xfId="0" applyFont="1" applyFill="1" applyAlignment="1">
      <alignment horizontal="center"/>
    </xf>
    <xf numFmtId="0" fontId="35" fillId="37" borderId="0" xfId="0" applyFont="1" applyFill="1" applyAlignment="1">
      <alignment horizontal="center"/>
    </xf>
    <xf numFmtId="0" fontId="54" fillId="0" borderId="88" xfId="0" applyFont="1" applyBorder="1" applyAlignment="1">
      <alignment horizontal="left" vertical="center" wrapText="1" readingOrder="1"/>
    </xf>
    <xf numFmtId="0" fontId="54" fillId="0" borderId="86" xfId="0" applyFont="1" applyBorder="1" applyAlignment="1">
      <alignment horizontal="left" vertical="center" wrapText="1" readingOrder="1"/>
    </xf>
    <xf numFmtId="0" fontId="55" fillId="0" borderId="88" xfId="0" applyFont="1" applyBorder="1" applyAlignment="1">
      <alignment horizontal="left" vertical="center" wrapText="1" readingOrder="1"/>
    </xf>
    <xf numFmtId="0" fontId="55" fillId="0" borderId="86" xfId="0" applyFont="1" applyBorder="1" applyAlignment="1">
      <alignment horizontal="left" vertical="center" wrapText="1" readingOrder="1"/>
    </xf>
    <xf numFmtId="0" fontId="74" fillId="0" borderId="88" xfId="0" applyFont="1" applyBorder="1" applyAlignment="1">
      <alignment horizontal="left" vertical="center" wrapText="1" readingOrder="1"/>
    </xf>
    <xf numFmtId="0" fontId="74" fillId="0" borderId="86" xfId="0" applyFont="1" applyBorder="1" applyAlignment="1">
      <alignment horizontal="left" vertical="center" wrapText="1" readingOrder="1"/>
    </xf>
    <xf numFmtId="0" fontId="74" fillId="0" borderId="84" xfId="0" applyFont="1" applyBorder="1" applyAlignment="1">
      <alignment horizontal="left" vertical="center" wrapText="1" readingOrder="1"/>
    </xf>
    <xf numFmtId="0" fontId="74" fillId="0" borderId="81" xfId="0" applyFont="1" applyBorder="1" applyAlignment="1">
      <alignment horizontal="left" vertical="center" wrapText="1" readingOrder="1"/>
    </xf>
    <xf numFmtId="0" fontId="56" fillId="14" borderId="96" xfId="0" applyFont="1" applyFill="1" applyBorder="1" applyAlignment="1">
      <alignment horizontal="center" vertical="center" wrapText="1" readingOrder="1"/>
    </xf>
    <xf numFmtId="0" fontId="56" fillId="14" borderId="73" xfId="0" applyFont="1" applyFill="1" applyBorder="1" applyAlignment="1">
      <alignment horizontal="center" vertical="center" wrapText="1" readingOrder="1"/>
    </xf>
    <xf numFmtId="0" fontId="56" fillId="14" borderId="96" xfId="0" applyFont="1" applyFill="1" applyBorder="1" applyAlignment="1">
      <alignment horizontal="left" vertical="center" wrapText="1" readingOrder="1"/>
    </xf>
    <xf numFmtId="0" fontId="56" fillId="14" borderId="65" xfId="0" applyFont="1" applyFill="1" applyBorder="1" applyAlignment="1">
      <alignment horizontal="left" vertical="center" wrapText="1" readingOrder="1"/>
    </xf>
    <xf numFmtId="0" fontId="56" fillId="14" borderId="65" xfId="0" applyFont="1" applyFill="1" applyBorder="1" applyAlignment="1">
      <alignment horizontal="center" vertical="center" wrapText="1" readingOrder="1"/>
    </xf>
    <xf numFmtId="0" fontId="75" fillId="7" borderId="69" xfId="0" applyFont="1" applyFill="1" applyBorder="1" applyAlignment="1">
      <alignment horizontal="center" vertical="center" wrapText="1" readingOrder="1"/>
    </xf>
    <xf numFmtId="0" fontId="75" fillId="7" borderId="66" xfId="0" applyFont="1" applyFill="1" applyBorder="1" applyAlignment="1">
      <alignment horizontal="center" vertical="center" wrapText="1" readingOrder="1"/>
    </xf>
    <xf numFmtId="0" fontId="75" fillId="0" borderId="71" xfId="0" applyFont="1" applyBorder="1" applyAlignment="1">
      <alignment horizontal="center" vertical="center" wrapText="1" readingOrder="1"/>
    </xf>
    <xf numFmtId="0" fontId="75" fillId="0" borderId="67" xfId="0" applyFont="1" applyBorder="1" applyAlignment="1">
      <alignment horizontal="center" vertical="center" wrapText="1" readingOrder="1"/>
    </xf>
    <xf numFmtId="0" fontId="75" fillId="7" borderId="70" xfId="0" applyFont="1" applyFill="1" applyBorder="1" applyAlignment="1">
      <alignment horizontal="center" vertical="center" wrapText="1" readingOrder="1"/>
    </xf>
    <xf numFmtId="0" fontId="75" fillId="7" borderId="60" xfId="0" applyFont="1" applyFill="1" applyBorder="1" applyAlignment="1">
      <alignment horizontal="center" vertical="center" wrapText="1" readingOrder="1"/>
    </xf>
    <xf numFmtId="0" fontId="60" fillId="0" borderId="72" xfId="0" applyFont="1" applyBorder="1" applyAlignment="1">
      <alignment horizontal="left" vertical="center" wrapText="1" readingOrder="1"/>
    </xf>
    <xf numFmtId="0" fontId="60" fillId="0" borderId="68" xfId="0" applyFont="1" applyBorder="1" applyAlignment="1">
      <alignment horizontal="left" vertical="center" wrapText="1" readingOrder="1"/>
    </xf>
    <xf numFmtId="0" fontId="75" fillId="0" borderId="70" xfId="0" applyFont="1" applyBorder="1" applyAlignment="1">
      <alignment horizontal="center" vertical="center" wrapText="1" readingOrder="1"/>
    </xf>
    <xf numFmtId="0" fontId="75" fillId="0" borderId="60" xfId="0" applyFont="1" applyBorder="1" applyAlignment="1">
      <alignment horizontal="center" vertical="center" wrapText="1" readingOrder="1"/>
    </xf>
    <xf numFmtId="0" fontId="55" fillId="3" borderId="167" xfId="0" applyFont="1" applyFill="1" applyBorder="1" applyAlignment="1">
      <alignment horizontal="center" vertical="center" wrapText="1" readingOrder="1"/>
    </xf>
    <xf numFmtId="0" fontId="55" fillId="3" borderId="166" xfId="0" applyFont="1" applyFill="1" applyBorder="1" applyAlignment="1">
      <alignment horizontal="center" vertical="center" wrapText="1" readingOrder="1"/>
    </xf>
    <xf numFmtId="0" fontId="75" fillId="0" borderId="167" xfId="0" applyFont="1" applyBorder="1" applyAlignment="1">
      <alignment horizontal="center" vertical="center" wrapText="1" readingOrder="1"/>
    </xf>
    <xf numFmtId="0" fontId="75" fillId="0" borderId="166" xfId="0" applyFont="1" applyBorder="1" applyAlignment="1">
      <alignment horizontal="center" vertical="center" wrapText="1" readingOrder="1"/>
    </xf>
    <xf numFmtId="0" fontId="44" fillId="14" borderId="76" xfId="0" applyFont="1" applyFill="1" applyBorder="1" applyAlignment="1">
      <alignment horizontal="center" vertical="center"/>
    </xf>
    <xf numFmtId="0" fontId="44" fillId="14" borderId="75" xfId="0" applyFont="1" applyFill="1" applyBorder="1" applyAlignment="1">
      <alignment horizontal="center" vertical="center"/>
    </xf>
    <xf numFmtId="0" fontId="44" fillId="14" borderId="77" xfId="0" applyFont="1" applyFill="1" applyBorder="1" applyAlignment="1">
      <alignment horizontal="center" vertical="center"/>
    </xf>
    <xf numFmtId="0" fontId="93" fillId="0" borderId="0" xfId="0" applyFont="1" applyAlignment="1">
      <alignment horizontal="center"/>
    </xf>
    <xf numFmtId="0" fontId="100" fillId="14" borderId="214" xfId="0" applyFont="1" applyFill="1" applyBorder="1" applyAlignment="1">
      <alignment horizontal="center"/>
    </xf>
    <xf numFmtId="0" fontId="100" fillId="14" borderId="215" xfId="0" applyFont="1" applyFill="1" applyBorder="1" applyAlignment="1">
      <alignment horizontal="center"/>
    </xf>
    <xf numFmtId="0" fontId="100" fillId="14" borderId="216" xfId="0" applyFont="1" applyFill="1" applyBorder="1" applyAlignment="1">
      <alignment horizontal="center"/>
    </xf>
    <xf numFmtId="165" fontId="26" fillId="0" borderId="0" xfId="11" applyFont="1" applyAlignment="1">
      <alignment horizontal="center"/>
    </xf>
    <xf numFmtId="165" fontId="0" fillId="0" borderId="0" xfId="11" applyFont="1" applyAlignment="1">
      <alignment horizontal="center" vertical="center" wrapText="1"/>
    </xf>
    <xf numFmtId="0" fontId="56" fillId="14" borderId="39" xfId="0" applyFont="1" applyFill="1" applyBorder="1" applyAlignment="1">
      <alignment horizontal="center" vertical="center" wrapText="1" readingOrder="1"/>
    </xf>
    <xf numFmtId="0" fontId="56" fillId="14" borderId="55" xfId="0" applyFont="1" applyFill="1" applyBorder="1" applyAlignment="1">
      <alignment horizontal="center" vertical="center" wrapText="1" readingOrder="1"/>
    </xf>
    <xf numFmtId="0" fontId="54" fillId="0" borderId="56" xfId="0" applyFont="1" applyBorder="1" applyAlignment="1">
      <alignment horizontal="left" vertical="center" wrapText="1" readingOrder="1"/>
    </xf>
    <xf numFmtId="0" fontId="54" fillId="0" borderId="0" xfId="0" applyFont="1" applyAlignment="1">
      <alignment horizontal="left" vertical="center" wrapText="1" readingOrder="1"/>
    </xf>
    <xf numFmtId="0" fontId="55" fillId="0" borderId="40" xfId="0" applyFont="1" applyBorder="1" applyAlignment="1">
      <alignment horizontal="left" vertical="center" wrapText="1" readingOrder="1"/>
    </xf>
    <xf numFmtId="0" fontId="55" fillId="0" borderId="54" xfId="0" applyFont="1" applyBorder="1" applyAlignment="1">
      <alignment horizontal="left" vertical="center" wrapText="1" readingOrder="1"/>
    </xf>
    <xf numFmtId="0" fontId="54" fillId="0" borderId="56" xfId="0" applyFont="1" applyBorder="1" applyAlignment="1">
      <alignment horizontal="left" vertical="center" wrapText="1" indent="1" readingOrder="1"/>
    </xf>
    <xf numFmtId="0" fontId="54" fillId="0" borderId="0" xfId="0" applyFont="1" applyAlignment="1">
      <alignment horizontal="left" vertical="center" wrapText="1" indent="1" readingOrder="1"/>
    </xf>
    <xf numFmtId="0" fontId="55" fillId="0" borderId="56" xfId="0" applyFont="1" applyBorder="1" applyAlignment="1">
      <alignment horizontal="left" vertical="center" wrapText="1" readingOrder="1"/>
    </xf>
    <xf numFmtId="0" fontId="55" fillId="0" borderId="0" xfId="0" applyFont="1" applyAlignment="1">
      <alignment horizontal="left" vertical="center" wrapText="1" readingOrder="1"/>
    </xf>
    <xf numFmtId="0" fontId="56" fillId="14" borderId="39" xfId="0" applyFont="1" applyFill="1" applyBorder="1" applyAlignment="1">
      <alignment horizontal="left" vertical="center" wrapText="1" readingOrder="1"/>
    </xf>
    <xf numFmtId="0" fontId="56" fillId="14" borderId="55" xfId="0" applyFont="1" applyFill="1" applyBorder="1" applyAlignment="1">
      <alignment horizontal="left" vertical="center" wrapText="1" readingOrder="1"/>
    </xf>
    <xf numFmtId="0" fontId="55" fillId="0" borderId="37" xfId="0" applyFont="1" applyBorder="1" applyAlignment="1">
      <alignment horizontal="left" vertical="center" wrapText="1" readingOrder="1"/>
    </xf>
    <xf numFmtId="0" fontId="55" fillId="0" borderId="38" xfId="0" applyFont="1" applyBorder="1" applyAlignment="1">
      <alignment horizontal="left" vertical="center" wrapText="1" readingOrder="1"/>
    </xf>
    <xf numFmtId="0" fontId="30" fillId="0" borderId="60" xfId="0" applyFont="1" applyBorder="1" applyAlignment="1">
      <alignment horizontal="center"/>
    </xf>
    <xf numFmtId="0" fontId="55" fillId="0" borderId="84" xfId="0" applyFont="1" applyBorder="1" applyAlignment="1">
      <alignment horizontal="left" vertical="center" wrapText="1" readingOrder="1"/>
    </xf>
    <xf numFmtId="0" fontId="55" fillId="0" borderId="81" xfId="0" applyFont="1" applyBorder="1" applyAlignment="1">
      <alignment horizontal="left" vertical="center" wrapText="1" readingOrder="1"/>
    </xf>
    <xf numFmtId="0" fontId="56" fillId="14" borderId="92" xfId="0" applyFont="1" applyFill="1" applyBorder="1" applyAlignment="1">
      <alignment horizontal="center" vertical="center" wrapText="1" readingOrder="1"/>
    </xf>
    <xf numFmtId="0" fontId="56" fillId="14" borderId="103" xfId="0" applyFont="1" applyFill="1" applyBorder="1" applyAlignment="1">
      <alignment horizontal="left" vertical="center" wrapText="1" readingOrder="1"/>
    </xf>
    <xf numFmtId="0" fontId="56" fillId="14" borderId="91" xfId="0" applyFont="1" applyFill="1" applyBorder="1" applyAlignment="1">
      <alignment horizontal="left" vertical="center" wrapText="1" readingOrder="1"/>
    </xf>
    <xf numFmtId="0" fontId="56" fillId="14" borderId="103" xfId="0" applyFont="1" applyFill="1" applyBorder="1" applyAlignment="1">
      <alignment horizontal="center" vertical="center" wrapText="1" readingOrder="1"/>
    </xf>
    <xf numFmtId="0" fontId="56" fillId="14" borderId="9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1" fillId="14" borderId="11" xfId="0" applyFont="1" applyFill="1" applyBorder="1" applyAlignment="1">
      <alignment horizontal="center" vertical="center" wrapText="1" readingOrder="1"/>
    </xf>
    <xf numFmtId="0" fontId="11" fillId="14" borderId="12" xfId="0" applyFont="1" applyFill="1" applyBorder="1" applyAlignment="1">
      <alignment horizontal="center" vertical="center" wrapText="1" readingOrder="1"/>
    </xf>
    <xf numFmtId="0" fontId="11" fillId="14" borderId="17" xfId="0" applyFont="1" applyFill="1" applyBorder="1" applyAlignment="1">
      <alignment horizontal="center" vertical="center" wrapText="1" readingOrder="1"/>
    </xf>
    <xf numFmtId="0" fontId="11" fillId="14" borderId="76" xfId="0" applyFont="1" applyFill="1" applyBorder="1" applyAlignment="1">
      <alignment horizontal="center" vertical="center" wrapText="1" readingOrder="1"/>
    </xf>
    <xf numFmtId="0" fontId="11" fillId="14" borderId="75" xfId="0" applyFont="1" applyFill="1" applyBorder="1" applyAlignment="1">
      <alignment horizontal="center" vertical="center" wrapText="1" readingOrder="1"/>
    </xf>
    <xf numFmtId="0" fontId="11" fillId="14" borderId="77" xfId="0" applyFont="1" applyFill="1" applyBorder="1" applyAlignment="1">
      <alignment horizontal="center" vertical="center" wrapText="1" readingOrder="1"/>
    </xf>
    <xf numFmtId="176" fontId="44" fillId="14" borderId="76" xfId="16" quotePrefix="1" applyNumberFormat="1" applyFont="1" applyFill="1" applyBorder="1" applyAlignment="1">
      <alignment horizontal="center" vertical="center"/>
    </xf>
    <xf numFmtId="176" fontId="44" fillId="14" borderId="75" xfId="16" applyNumberFormat="1" applyFont="1" applyFill="1" applyBorder="1" applyAlignment="1">
      <alignment horizontal="center" vertical="center"/>
    </xf>
    <xf numFmtId="176" fontId="44" fillId="14" borderId="77" xfId="16" applyNumberFormat="1" applyFont="1" applyFill="1" applyBorder="1" applyAlignment="1">
      <alignment horizontal="center" vertical="center"/>
    </xf>
    <xf numFmtId="169" fontId="44" fillId="18" borderId="76" xfId="16" applyNumberFormat="1" applyFont="1" applyFill="1" applyBorder="1" applyAlignment="1">
      <alignment horizontal="center" vertical="center"/>
    </xf>
    <xf numFmtId="169" fontId="44" fillId="18" borderId="75" xfId="16" applyNumberFormat="1" applyFont="1" applyFill="1" applyBorder="1" applyAlignment="1">
      <alignment horizontal="center" vertical="center"/>
    </xf>
    <xf numFmtId="169" fontId="44" fillId="18" borderId="77" xfId="16" applyNumberFormat="1" applyFont="1" applyFill="1" applyBorder="1" applyAlignment="1">
      <alignment horizontal="center" vertical="center"/>
    </xf>
    <xf numFmtId="176" fontId="44" fillId="18" borderId="75" xfId="16" applyNumberFormat="1" applyFont="1" applyFill="1" applyBorder="1" applyAlignment="1">
      <alignment horizontal="center" vertical="center"/>
    </xf>
    <xf numFmtId="176" fontId="44" fillId="18" borderId="76" xfId="16" applyNumberFormat="1" applyFont="1" applyFill="1" applyBorder="1" applyAlignment="1">
      <alignment horizontal="center" vertical="center"/>
    </xf>
    <xf numFmtId="176" fontId="44" fillId="18" borderId="77" xfId="16" applyNumberFormat="1" applyFont="1" applyFill="1" applyBorder="1" applyAlignment="1">
      <alignment horizontal="center" vertical="center"/>
    </xf>
    <xf numFmtId="0" fontId="11" fillId="14" borderId="70" xfId="0" applyFont="1" applyFill="1" applyBorder="1" applyAlignment="1">
      <alignment horizontal="center" vertical="center" wrapText="1" readingOrder="1"/>
    </xf>
    <xf numFmtId="0" fontId="11" fillId="14" borderId="69" xfId="0" applyFont="1" applyFill="1" applyBorder="1" applyAlignment="1">
      <alignment horizontal="center" vertical="center" wrapText="1" readingOrder="1"/>
    </xf>
    <xf numFmtId="176" fontId="44" fillId="14" borderId="234" xfId="16" quotePrefix="1" applyNumberFormat="1" applyFont="1" applyFill="1" applyBorder="1" applyAlignment="1">
      <alignment horizontal="center" vertical="center"/>
    </xf>
    <xf numFmtId="176" fontId="44" fillId="14" borderId="235" xfId="16" quotePrefix="1" applyNumberFormat="1" applyFont="1" applyFill="1" applyBorder="1" applyAlignment="1">
      <alignment horizontal="center" vertical="center"/>
    </xf>
    <xf numFmtId="0" fontId="48" fillId="0" borderId="71" xfId="0" applyFont="1" applyBorder="1" applyAlignment="1">
      <alignment horizontal="center"/>
    </xf>
    <xf numFmtId="0" fontId="48" fillId="0" borderId="69" xfId="0" applyFont="1" applyBorder="1" applyAlignment="1">
      <alignment horizontal="center"/>
    </xf>
    <xf numFmtId="0" fontId="48" fillId="0" borderId="231" xfId="0" applyFont="1" applyBorder="1" applyAlignment="1">
      <alignment horizontal="center"/>
    </xf>
    <xf numFmtId="0" fontId="48" fillId="0" borderId="88" xfId="0" applyFont="1" applyBorder="1" applyAlignment="1">
      <alignment horizontal="center"/>
    </xf>
    <xf numFmtId="0" fontId="55" fillId="0" borderId="63" xfId="0" applyFont="1" applyBorder="1" applyAlignment="1">
      <alignment horizontal="left" vertical="center" wrapText="1" readingOrder="1"/>
    </xf>
    <xf numFmtId="0" fontId="55" fillId="0" borderId="62" xfId="0" applyFont="1" applyBorder="1" applyAlignment="1">
      <alignment horizontal="left" vertical="center" wrapText="1" readingOrder="1"/>
    </xf>
    <xf numFmtId="0" fontId="55" fillId="0" borderId="83" xfId="0" applyFont="1" applyBorder="1" applyAlignment="1">
      <alignment horizontal="left" vertical="center" wrapText="1" readingOrder="1"/>
    </xf>
    <xf numFmtId="0" fontId="60" fillId="0" borderId="75" xfId="0" applyFont="1" applyBorder="1" applyAlignment="1">
      <alignment horizontal="left" vertical="center" wrapText="1" readingOrder="1"/>
    </xf>
    <xf numFmtId="0" fontId="56" fillId="14" borderId="95" xfId="0" applyFont="1" applyFill="1" applyBorder="1" applyAlignment="1">
      <alignment horizontal="left" vertical="center" wrapText="1" readingOrder="1"/>
    </xf>
    <xf numFmtId="0" fontId="56" fillId="14" borderId="94" xfId="0" applyFont="1" applyFill="1" applyBorder="1" applyAlignment="1">
      <alignment horizontal="left" vertical="center" wrapText="1" readingOrder="1"/>
    </xf>
    <xf numFmtId="0" fontId="56" fillId="14" borderId="93" xfId="0" applyFont="1" applyFill="1" applyBorder="1" applyAlignment="1">
      <alignment horizontal="left" vertical="center" wrapText="1" readingOrder="1"/>
    </xf>
    <xf numFmtId="0" fontId="61" fillId="14" borderId="95" xfId="0" applyFont="1" applyFill="1" applyBorder="1" applyAlignment="1">
      <alignment horizontal="left" vertical="center" wrapText="1" readingOrder="1"/>
    </xf>
    <xf numFmtId="0" fontId="61" fillId="14" borderId="94" xfId="0" applyFont="1" applyFill="1" applyBorder="1" applyAlignment="1">
      <alignment horizontal="left" vertical="center" wrapText="1" readingOrder="1"/>
    </xf>
    <xf numFmtId="0" fontId="61" fillId="14" borderId="93" xfId="0" applyFont="1" applyFill="1" applyBorder="1" applyAlignment="1">
      <alignment horizontal="left" vertical="center" wrapText="1" readingOrder="1"/>
    </xf>
    <xf numFmtId="0" fontId="9" fillId="14" borderId="33" xfId="0" applyFont="1" applyFill="1" applyBorder="1" applyAlignment="1">
      <alignment horizontal="center" vertical="center" wrapText="1" readingOrder="1"/>
    </xf>
    <xf numFmtId="0" fontId="9" fillId="14" borderId="28" xfId="0" applyFont="1" applyFill="1" applyBorder="1" applyAlignment="1">
      <alignment horizontal="center" vertical="center" wrapText="1" readingOrder="1"/>
    </xf>
    <xf numFmtId="0" fontId="9" fillId="14" borderId="29" xfId="0" applyFont="1" applyFill="1" applyBorder="1" applyAlignment="1">
      <alignment horizontal="center" vertical="center" wrapText="1" readingOrder="1"/>
    </xf>
    <xf numFmtId="0" fontId="9" fillId="14" borderId="30" xfId="0" applyFont="1" applyFill="1" applyBorder="1" applyAlignment="1">
      <alignment horizontal="center" vertical="center" wrapText="1" readingOrder="1"/>
    </xf>
    <xf numFmtId="0" fontId="9" fillId="14" borderId="34" xfId="0" applyFont="1" applyFill="1" applyBorder="1" applyAlignment="1">
      <alignment horizontal="center" vertical="center" wrapText="1" readingOrder="1"/>
    </xf>
    <xf numFmtId="0" fontId="9" fillId="14" borderId="15" xfId="0" applyFont="1" applyFill="1" applyBorder="1" applyAlignment="1">
      <alignment horizontal="center" vertical="center" wrapText="1" readingOrder="1"/>
    </xf>
    <xf numFmtId="0" fontId="9" fillId="14" borderId="16" xfId="0" applyFont="1" applyFill="1" applyBorder="1" applyAlignment="1">
      <alignment horizontal="center" vertical="center" wrapText="1" readingOrder="1"/>
    </xf>
    <xf numFmtId="0" fontId="21" fillId="14" borderId="6" xfId="0" applyFont="1" applyFill="1" applyBorder="1" applyAlignment="1">
      <alignment horizontal="center" vertical="center" wrapText="1" readingOrder="1"/>
    </xf>
    <xf numFmtId="0" fontId="21" fillId="14" borderId="16" xfId="0" applyFont="1" applyFill="1" applyBorder="1" applyAlignment="1">
      <alignment horizontal="center" vertical="center" wrapText="1" readingOrder="1"/>
    </xf>
    <xf numFmtId="0" fontId="78" fillId="14" borderId="73" xfId="0" applyFont="1" applyFill="1" applyBorder="1" applyAlignment="1">
      <alignment horizontal="center"/>
    </xf>
    <xf numFmtId="0" fontId="78" fillId="14" borderId="65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8" fillId="14" borderId="11" xfId="0" applyFont="1" applyFill="1" applyBorder="1" applyAlignment="1">
      <alignment horizontal="center" vertical="center" wrapText="1" readingOrder="1"/>
    </xf>
    <xf numFmtId="0" fontId="8" fillId="14" borderId="12" xfId="0" applyFont="1" applyFill="1" applyBorder="1" applyAlignment="1">
      <alignment horizontal="center" vertical="center" wrapText="1" readingOrder="1"/>
    </xf>
    <xf numFmtId="0" fontId="8" fillId="14" borderId="13" xfId="0" applyFont="1" applyFill="1" applyBorder="1" applyAlignment="1">
      <alignment horizontal="center" vertical="center" wrapText="1" readingOrder="1"/>
    </xf>
    <xf numFmtId="166" fontId="6" fillId="7" borderId="0" xfId="0" applyNumberFormat="1" applyFont="1" applyFill="1" applyAlignment="1">
      <alignment horizontal="center" wrapText="1" readingOrder="1"/>
    </xf>
    <xf numFmtId="0" fontId="6" fillId="7" borderId="0" xfId="0" applyFont="1" applyFill="1" applyAlignment="1">
      <alignment horizontal="center" wrapText="1" readingOrder="1"/>
    </xf>
    <xf numFmtId="0" fontId="4" fillId="25" borderId="177" xfId="0" applyFont="1" applyFill="1" applyBorder="1" applyAlignment="1">
      <alignment horizontal="left" vertical="center" wrapText="1" readingOrder="1"/>
    </xf>
    <xf numFmtId="0" fontId="4" fillId="25" borderId="176" xfId="0" applyFont="1" applyFill="1" applyBorder="1" applyAlignment="1">
      <alignment horizontal="left" vertical="center" wrapText="1" readingOrder="1"/>
    </xf>
    <xf numFmtId="0" fontId="4" fillId="25" borderId="177" xfId="0" applyFont="1" applyFill="1" applyBorder="1" applyAlignment="1">
      <alignment horizontal="left" vertical="center" wrapText="1" indent="2" readingOrder="1"/>
    </xf>
    <xf numFmtId="0" fontId="4" fillId="25" borderId="176" xfId="0" applyFont="1" applyFill="1" applyBorder="1" applyAlignment="1">
      <alignment horizontal="left" vertical="center" wrapText="1" indent="2" readingOrder="1"/>
    </xf>
    <xf numFmtId="0" fontId="4" fillId="25" borderId="175" xfId="0" applyFont="1" applyFill="1" applyBorder="1" applyAlignment="1">
      <alignment horizontal="left" vertical="center" wrapText="1" indent="2" readingOrder="1"/>
    </xf>
    <xf numFmtId="0" fontId="4" fillId="25" borderId="174" xfId="0" applyFont="1" applyFill="1" applyBorder="1" applyAlignment="1">
      <alignment horizontal="left" vertical="center" wrapText="1" indent="2" readingOrder="1"/>
    </xf>
    <xf numFmtId="17" fontId="28" fillId="0" borderId="96" xfId="0" quotePrefix="1" applyNumberFormat="1" applyFont="1" applyBorder="1" applyAlignment="1">
      <alignment horizontal="center" vertical="center"/>
    </xf>
    <xf numFmtId="0" fontId="28" fillId="0" borderId="73" xfId="0" applyFont="1" applyBorder="1" applyAlignment="1">
      <alignment horizontal="center" vertical="center"/>
    </xf>
    <xf numFmtId="0" fontId="28" fillId="0" borderId="65" xfId="0" applyFont="1" applyBorder="1" applyAlignment="1">
      <alignment horizontal="center" vertical="center"/>
    </xf>
    <xf numFmtId="0" fontId="4" fillId="25" borderId="179" xfId="0" applyFont="1" applyFill="1" applyBorder="1" applyAlignment="1">
      <alignment horizontal="left" vertical="center" wrapText="1" readingOrder="1"/>
    </xf>
    <xf numFmtId="0" fontId="4" fillId="25" borderId="178" xfId="0" applyFont="1" applyFill="1" applyBorder="1" applyAlignment="1">
      <alignment horizontal="left" vertical="center" wrapText="1" readingOrder="1"/>
    </xf>
    <xf numFmtId="0" fontId="86" fillId="14" borderId="103" xfId="0" applyFont="1" applyFill="1" applyBorder="1" applyAlignment="1">
      <alignment horizontal="center" vertical="center" wrapText="1" readingOrder="1"/>
    </xf>
    <xf numFmtId="0" fontId="86" fillId="14" borderId="92" xfId="0" applyFont="1" applyFill="1" applyBorder="1" applyAlignment="1">
      <alignment horizontal="center" vertical="center" wrapText="1" readingOrder="1"/>
    </xf>
    <xf numFmtId="0" fontId="86" fillId="14" borderId="192" xfId="0" applyFont="1" applyFill="1" applyBorder="1" applyAlignment="1">
      <alignment horizontal="center" vertical="center" wrapText="1" readingOrder="1"/>
    </xf>
    <xf numFmtId="0" fontId="4" fillId="0" borderId="88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4" fillId="0" borderId="84" xfId="0" applyFont="1" applyBorder="1" applyAlignment="1">
      <alignment horizontal="left" vertical="center" wrapText="1" readingOrder="1"/>
    </xf>
    <xf numFmtId="0" fontId="4" fillId="0" borderId="62" xfId="0" applyFont="1" applyBorder="1" applyAlignment="1">
      <alignment horizontal="left" vertical="center" wrapText="1" readingOrder="1"/>
    </xf>
    <xf numFmtId="0" fontId="35" fillId="31" borderId="71" xfId="15" applyFont="1" applyFill="1" applyBorder="1" applyAlignment="1">
      <alignment horizontal="center" vertical="center"/>
    </xf>
    <xf numFmtId="0" fontId="35" fillId="31" borderId="70" xfId="15" applyFont="1" applyFill="1" applyBorder="1" applyAlignment="1">
      <alignment horizontal="center" vertical="center"/>
    </xf>
    <xf numFmtId="0" fontId="35" fillId="31" borderId="69" xfId="15" applyFont="1" applyFill="1" applyBorder="1" applyAlignment="1">
      <alignment horizontal="center" vertical="center"/>
    </xf>
    <xf numFmtId="0" fontId="35" fillId="31" borderId="71" xfId="16" applyFont="1" applyFill="1" applyBorder="1" applyAlignment="1">
      <alignment horizontal="center" vertical="center"/>
    </xf>
    <xf numFmtId="0" fontId="35" fillId="31" borderId="70" xfId="16" applyFont="1" applyFill="1" applyBorder="1" applyAlignment="1">
      <alignment horizontal="center" vertical="center"/>
    </xf>
  </cellXfs>
  <cellStyles count="33">
    <cellStyle name="Comma 5" xfId="14" xr:uid="{E9D4F6F7-0456-4817-8503-4DCB2DADAE14}"/>
    <cellStyle name="Comma 5 2" xfId="24" xr:uid="{36BD18F6-01EA-48FE-AE14-A2D9B702E07F}"/>
    <cellStyle name="Comma 9" xfId="30" xr:uid="{48F701D8-AECF-4117-8DCE-968E36C90CC7}"/>
    <cellStyle name="Moeda 2" xfId="25" xr:uid="{8E4B863A-6866-4F80-9FEE-CBB4392101E5}"/>
    <cellStyle name="Normal" xfId="0" builtinId="0"/>
    <cellStyle name="Normal - Style1 8" xfId="15" xr:uid="{DF4D3B9D-FABD-4E9B-B6A9-5507CD390A68}"/>
    <cellStyle name="Normal 10 3 3 2" xfId="16" xr:uid="{3B0CEE19-5CF8-47BC-B7E3-9168DD6A6367}"/>
    <cellStyle name="Normal 10 3 3 2 2" xfId="20" xr:uid="{BA5DA8E2-BF6E-475C-8C2C-4A19664E20C2}"/>
    <cellStyle name="Normal 2" xfId="3" xr:uid="{2BAD11CC-CEE2-4E36-8EFF-D30957DA3F25}"/>
    <cellStyle name="Normal 2 10" xfId="12" xr:uid="{AF0D069E-2300-41F1-9F8E-B3ECD5F1469F}"/>
    <cellStyle name="Normal 2 2" xfId="6" xr:uid="{BE580EC0-01C5-4661-9D10-D285DE958D7B}"/>
    <cellStyle name="Normal 2 2 2" xfId="8" xr:uid="{8C8F6A80-E1D3-4F2C-951A-627E5FA4A920}"/>
    <cellStyle name="Normal 2 2 2 2" xfId="27" xr:uid="{F198C453-5788-4CEA-BA7E-0374C60C0D8C}"/>
    <cellStyle name="Normal 23 2" xfId="31" xr:uid="{A3DA790A-3A62-45F0-8BA8-479625DAF012}"/>
    <cellStyle name="Normal 3" xfId="2" xr:uid="{1DF627EE-580E-4A8C-BD1E-FBAE0ECA759D}"/>
    <cellStyle name="Normal 3 2" xfId="7" xr:uid="{8E5EA49A-AC9C-4C8A-B8C4-0BC477C828C4}"/>
    <cellStyle name="Normal 3 2 2" xfId="9" xr:uid="{56EB1F4C-4BB9-4C75-80A9-7E9ED8A26365}"/>
    <cellStyle name="Normal 3 2 2 2" xfId="32" xr:uid="{E3D9B9F7-3726-47E6-9EAA-18BEEFCAEBFB}"/>
    <cellStyle name="Normal 387" xfId="18" xr:uid="{6F7EFF8A-8BED-4312-BCE6-AE5D48667EA8}"/>
    <cellStyle name="Normal 4" xfId="5" xr:uid="{307D833B-B562-41AE-B5E5-B7AC8C9AB169}"/>
    <cellStyle name="Normal 4 2" xfId="10" xr:uid="{C98FDDBF-CD77-4AD4-91A7-0A9BED22CC0F}"/>
    <cellStyle name="Normal 5 2" xfId="4" xr:uid="{79CE71F4-E88C-40BB-9DE7-8E9114DAC24D}"/>
    <cellStyle name="Normal 59" xfId="26" xr:uid="{9CEA2D4B-6C2F-40EA-90EE-172FA2124193}"/>
    <cellStyle name="Percent 2" xfId="28" xr:uid="{ABE9A751-4648-4040-AFF0-9C7C077A096A}"/>
    <cellStyle name="Percent 4" xfId="29" xr:uid="{9BC877F0-557E-4251-87EE-0B002F22CB72}"/>
    <cellStyle name="Porcentagem" xfId="1" builtinId="5"/>
    <cellStyle name="Vírgula" xfId="11" builtinId="3"/>
    <cellStyle name="Vírgula 12" xfId="22" xr:uid="{80CEA6F7-FE5A-49E6-9B4E-812F745F2D53}"/>
    <cellStyle name="Vírgula 2" xfId="13" xr:uid="{45883A6B-A637-4631-8C0B-B291FC061F2F}"/>
    <cellStyle name="Vírgula 2 4" xfId="21" xr:uid="{C9E5F68E-2EB8-44AD-BA7D-B95728FE37DD}"/>
    <cellStyle name="Vírgula 26" xfId="19" xr:uid="{1268728C-C7DF-4D18-85DB-24D99B33540A}"/>
    <cellStyle name="Vírgula 3" xfId="23" xr:uid="{1011C302-106E-4946-B4B7-C7FDC3363C74}"/>
    <cellStyle name="Vírgula 41" xfId="17" xr:uid="{134A613D-4FC6-4946-88DB-4622EDFF3E94}"/>
  </cellStyles>
  <dxfs count="118">
    <dxf>
      <font>
        <color theme="0" tint="-0.14911343729972229"/>
      </font>
    </dxf>
    <dxf>
      <font>
        <color theme="0" tint="-0.14911343729972229"/>
      </font>
    </dxf>
    <dxf>
      <font>
        <color theme="0" tint="-0.14911343729972229"/>
      </font>
    </dxf>
    <dxf>
      <font>
        <color theme="0" tint="-0.14911343729972229"/>
      </font>
    </dxf>
    <dxf>
      <font>
        <color theme="0" tint="-0.14911343729972229"/>
      </font>
    </dxf>
    <dxf>
      <font>
        <color theme="0" tint="-0.14911343729972229"/>
      </font>
    </dxf>
    <dxf>
      <font>
        <color theme="0" tint="-0.14911343729972229"/>
      </font>
    </dxf>
    <dxf>
      <font>
        <color theme="0" tint="-0.14911343729972229"/>
      </font>
    </dxf>
    <dxf>
      <font>
        <color theme="0" tint="-0.14911343729972229"/>
      </font>
    </dxf>
    <dxf>
      <alignment wrapText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left"/>
    </dxf>
    <dxf>
      <numFmt numFmtId="0" formatCode="General"/>
    </dxf>
    <dxf>
      <numFmt numFmtId="35" formatCode="_-* #,##0.00_-;\-* #,##0.0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rial"/>
        <family val="2"/>
        <scheme val="none"/>
      </font>
      <numFmt numFmtId="166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rial"/>
        <family val="2"/>
        <scheme val="none"/>
      </font>
      <numFmt numFmtId="166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rial"/>
        <family val="2"/>
        <scheme val="none"/>
      </font>
      <numFmt numFmtId="166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rial"/>
        <family val="2"/>
        <scheme val="none"/>
      </font>
      <numFmt numFmtId="166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rial"/>
        <family val="2"/>
        <scheme val="none"/>
      </font>
      <numFmt numFmtId="166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rial"/>
        <family val="2"/>
        <scheme val="none"/>
      </font>
      <numFmt numFmtId="166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6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A470E"/>
      <color rgb="FFCC3300"/>
      <color rgb="FFD76B8A"/>
      <color rgb="FF57C3C3"/>
      <color rgb="FF59595C"/>
      <color rgb="FFFFD530"/>
      <color rgb="FF6EA3C4"/>
      <color rgb="FF3A3A3A"/>
      <color rgb="FF004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128" Type="http://schemas.openxmlformats.org/officeDocument/2006/relationships/styles" Target="styles.xml"/><Relationship Id="rId129" Type="http://schemas.openxmlformats.org/officeDocument/2006/relationships/sharedStrings" Target="sharedStrings.xml"/><Relationship Id="rId127" Type="http://schemas.openxmlformats.org/officeDocument/2006/relationships/theme" Target="theme/theme1.xml"/><Relationship Id="rIdS1" Type="http://schemas.openxmlformats.org/officeDocument/2006/relationships/worksheet" Target="worksheets/sheet4.xml"/><Relationship Id="rIdS2" Type="http://schemas.openxmlformats.org/officeDocument/2006/relationships/worksheet" Target="worksheets/sheet11.xml"/><Relationship Id="rIdS3" Type="http://schemas.openxmlformats.org/officeDocument/2006/relationships/worksheet" Target="worksheets/sheet17.xml"/><Relationship Id="rIdS4" Type="http://schemas.openxmlformats.org/officeDocument/2006/relationships/worksheet" Target="worksheets/sheet18.xml"/><Relationship Id="rIdS5" Type="http://schemas.openxmlformats.org/officeDocument/2006/relationships/worksheet" Target="worksheets/sheet22.xml"/><Relationship Id="rIdS6" Type="http://schemas.openxmlformats.org/officeDocument/2006/relationships/worksheet" Target="worksheets/sheet23.xml"/><Relationship Id="rIdS7" Type="http://schemas.openxmlformats.org/officeDocument/2006/relationships/worksheet" Target="worksheets/sheet24.xml"/><Relationship Id="rIdS8" Type="http://schemas.openxmlformats.org/officeDocument/2006/relationships/worksheet" Target="worksheets/sheet25.xml"/><Relationship Id="rIdS9" Type="http://schemas.openxmlformats.org/officeDocument/2006/relationships/worksheet" Target="worksheets/sheet26.xml"/><Relationship Id="rIdS10" Type="http://schemas.openxmlformats.org/officeDocument/2006/relationships/worksheet" Target="worksheets/sheet30.xml"/><Relationship Id="rIdS11" Type="http://schemas.openxmlformats.org/officeDocument/2006/relationships/worksheet" Target="worksheets/sheet32.xml"/><Relationship Id="rIdS12" Type="http://schemas.openxmlformats.org/officeDocument/2006/relationships/worksheet" Target="worksheets/sheet33.xml"/><Relationship Id="rIdS13" Type="http://schemas.openxmlformats.org/officeDocument/2006/relationships/worksheet" Target="worksheets/sheet34.xml"/><Relationship Id="rIdS14" Type="http://schemas.openxmlformats.org/officeDocument/2006/relationships/worksheet" Target="worksheets/sheet35.xml"/><Relationship Id="rIdBase" Type="http://schemas.openxmlformats.org/officeDocument/2006/relationships/worksheet" Target="worksheets/sheetBase.xml"/></Relationships>
</file>

<file path=xl/charts/_rels/chart9.xml.rels><?xml version='1.0' encoding='UTF-8' standalone='yes'?>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'1.0' encoding='UTF-8' standalone='yes'?>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1.xml.rels><?xml version='1.0' encoding='UTF-8' standalone='yes'?>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2.xml.rels><?xml version='1.0' encoding='UTF-8' standalone='yes'?>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18.xml.rels><?xml version='1.0' encoding='UTF-8' standalone='yes'?>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19.xml.rels><?xml version='1.0' encoding='UTF-8' standalone='yes'?>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20.xml.rels><?xml version='1.0' encoding='UTF-8' standalone='yes'?>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21.xml.rels><?xml version='1.0' encoding='UTF-8' standalone='yes'?>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22.xml.rels><?xml version='1.0' encoding='UTF-8' standalone='yes'?>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24.xml.rels><?xml version='1.0' encoding='UTF-8' standalone='yes'?>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25.xml.rels><?xml version='1.0' encoding='UTF-8' standalone='yes'?>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 Faturamento - ME 25 x ME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2025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C0-4F38-88B6-BB54B36570FE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B5-4293-BA9D-147AE321FD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'Bridge Faturamento'!$G$4:$G$15</c15:sqref>
                  </c15:fullRef>
                </c:ext>
              </c:extLst>
              <c:f>'Bridge Faturamento'!$G$4:$G$14</c:f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'Bridge Faturamento'!$E$4:$E$15</c15:sqref>
                  </c15:fullRef>
                </c:ext>
              </c:extLst>
              <c:f>'Bridge Faturamento'!$E$4:$E$14</c:f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'Bridge Faturamento'!$E$15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1D16-48E7-8A98-5D94A86FFA0B}"/>
            </c:ext>
          </c:extLst>
        </c:ser>
        <c:ser>
          <c:idx val="1"/>
          <c:order val="2"/>
          <c:tx>
            <c:v>2026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'Bridge Faturamento'!$G$4:$G$15</c15:sqref>
                  </c15:fullRef>
                </c:ext>
              </c:extLst>
              <c:f>'Bridge Faturamento'!$G$4:$G$14</c:f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'Bridge Faturamento'!$H$4:$H$15</c15:sqref>
                  </c15:fullRef>
                </c:ext>
              </c:extLst>
              <c:f>'Bridge Faturamento'!$H$4:$H$14</c:f>
            </c:numRef>
          </c:val>
          <c:extLst>
            <c:ext xmlns:c16="http://schemas.microsoft.com/office/drawing/2014/chart" uri="{C3380CC4-5D6E-409C-BE32-E72D297353CC}">
              <c16:uniqueId val="{00000006-AD73-4881-8FD2-367DE53EE0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61112800"/>
        <c:axId val="1361115200"/>
        <c:extLst>
          <c:ext xmlns:c15="http://schemas.microsoft.com/office/drawing/2012/chart" uri="{02D57815-91ED-43cb-92C2-25804820EDAC}">
            <c15:filteredBarSeries>
              <c15:ser>
                <c:idx val="3"/>
                <c:order val="1"/>
                <c:tx>
                  <c:v>2024</c:v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'Bridge Faturamento'!$G$4:$G$15</c15:sqref>
                        </c15:fullRef>
                        <c15:formulaRef>
                          <c15:sqref>'Bridge Faturamento'!$G$4:$G$14</c15:sqref>
                        </c15:formulaRef>
                      </c:ext>
                    </c:extLst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'Bridge Faturamento'!$B$3:$B$17</c15:sqref>
                        </c15:fullRef>
                        <c15:formulaRef>
                          <c15:sqref>('Bridge Faturamento'!$B$3:$B$13,'Bridge Faturamento'!$B$15:$B$17)</c15:sqref>
                        </c15:formulaRef>
                      </c:ext>
                    </c:extLst>
                  </c:numRef>
                </c:val>
                <c:extLst>
                  <c:ext xmlns:c16="http://schemas.microsoft.com/office/drawing/2014/chart" uri="{C3380CC4-5D6E-409C-BE32-E72D297353CC}">
                    <c16:uniqueId val="{0000000B-4E18-4F65-ADBE-D68ADF549686}"/>
                  </c:ext>
                </c:extLst>
              </c15:ser>
            </c15:filteredBarSeries>
          </c:ext>
        </c:extLst>
      </c:barChart>
      <c:catAx>
        <c:axId val="136111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1115200"/>
        <c:crosses val="autoZero"/>
        <c:auto val="1"/>
        <c:lblAlgn val="ctr"/>
        <c:lblOffset val="100"/>
        <c:noMultiLvlLbl val="0"/>
      </c:catAx>
      <c:valAx>
        <c:axId val="1361115200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13611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Confronto</a:t>
            </a:r>
            <a:r>
              <a:rPr lang="pt-BR" baseline="0"/>
              <a:t> 2025 x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Confronto!$B$13</c:f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Confronto!$C$11:$N$11</c15:sqref>
                  </c15:fullRef>
                </c:ext>
              </c:extLst>
              <c:f>Confronto!$C$11:$E$11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Confronto!$C$13:$N$13</c15:sqref>
                  </c15:fullRef>
                </c:ext>
              </c:extLst>
              <c:f>Confronto!$C$13:$E$13</c:f>
            </c:numRef>
          </c:val>
          <c:extLst>
            <c:ext xmlns:c16="http://schemas.microsoft.com/office/drawing/2014/chart" uri="{C3380CC4-5D6E-409C-BE32-E72D297353CC}">
              <c16:uniqueId val="{00000002-1EAC-4060-8D4C-4839E3FC3C59}"/>
            </c:ext>
          </c:extLst>
        </c:ser>
        <c:ser>
          <c:idx val="6"/>
          <c:order val="6"/>
          <c:tx>
            <c:strRef>
              <c:f>Confronto!$B$12</c:f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Confronto!$C$11:$N$11</c15:sqref>
                  </c15:fullRef>
                </c:ext>
              </c:extLst>
              <c:f>Confronto!$C$11:$E$11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Confronto!$C$12:$N$12</c15:sqref>
                  </c15:fullRef>
                </c:ext>
              </c:extLst>
              <c:f>Confronto!$C$12:$E$12</c:f>
            </c:numRef>
          </c:val>
          <c:extLst>
            <c:ext xmlns:c16="http://schemas.microsoft.com/office/drawing/2014/chart" uri="{C3380CC4-5D6E-409C-BE32-E72D297353CC}">
              <c16:uniqueId val="{00000001-1EAC-4060-8D4C-4839E3FC3C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46128287"/>
        <c:axId val="746130207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Confronto!$B$2</c15:sqref>
                        </c15:formulaRef>
                      </c:ext>
                    </c:extLst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0"/>
                    <c:layout>
                      <c:manualLayout>
                        <c:x val="0"/>
                        <c:y val="-2.167243419954003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D-33F0-4403-A55D-F42B401944E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Confronto!$C$11:$N$11</c15:sqref>
                        </c15:fullRef>
                        <c15:formulaRef>
                          <c15:sqref>Confronto!$C$11:$E$11</c15:sqref>
                        </c15:formulaRef>
                      </c:ext>
                    </c:extLst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Confronto!$C$2:$N$2</c15:sqref>
                        </c15:fullRef>
                        <c15:formulaRef>
                          <c15:sqref>Confronto!$C$2:$E$2</c15:sqref>
                        </c15:formulaRef>
                      </c:ext>
                    </c:extLst>
                  </c:numRef>
                </c:val>
                <c:extLst>
                  <c:ext xmlns:c16="http://schemas.microsoft.com/office/drawing/2014/chart" uri="{C3380CC4-5D6E-409C-BE32-E72D297353CC}">
                    <c16:uniqueId val="{0000000A-33F0-4403-A55D-F42B401944E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Confronto!$B$3</c15:sqref>
                        </c15:formulaRef>
                      </c:ext>
                    </c:extLst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Confronto!$C$11:$N$11</c15:sqref>
                        </c15:fullRef>
                        <c15:formulaRef>
                          <c15:sqref>Confronto!$C$11:$E$11</c15:sqref>
                        </c15:formulaRef>
                      </c:ext>
                    </c:extLst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Confronto!$C$3:$N$3</c15:sqref>
                        </c15:fullRef>
                        <c15:formulaRef>
                          <c15:sqref>Confronto!$C$3:$E$3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3F0-4403-A55D-F42B401944E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Confronto!$B$4</c15:sqref>
                        </c15:formulaRef>
                      </c:ext>
                    </c:extLst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Confronto!$C$11:$N$11</c15:sqref>
                        </c15:fullRef>
                        <c15:formulaRef>
                          <c15:sqref>Confronto!$C$11:$E$11</c15:sqref>
                        </c15:formulaRef>
                      </c:ext>
                    </c:extLst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Confronto!$C$4:$N$4</c15:sqref>
                        </c15:fullRef>
                        <c15:formulaRef>
                          <c15:sqref>Confronto!$C$4:$E$4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3F0-4403-A55D-F42B401944E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Confronto!$B$14</c15:sqref>
                        </c15:formulaRef>
                      </c:ext>
                    </c:extLst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Confronto!$C$11:$N$11</c15:sqref>
                        </c15:fullRef>
                        <c15:formulaRef>
                          <c15:sqref>Confronto!$C$11:$E$11</c15:sqref>
                        </c15:formulaRef>
                      </c:ext>
                    </c:extLst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Confronto!$C$14:$N$14</c15:sqref>
                        </c15:fullRef>
                        <c15:formulaRef>
                          <c15:sqref>Confronto!$C$14:$E$14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EAC-4060-8D4C-4839E3FC3C5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Confronto!$B$8</c:f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Confronto!$C$6:$N$6</c15:sqref>
                  </c15:fullRef>
                </c:ext>
              </c:extLst>
              <c:f>Confronto!$C$6:$E$6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Confronto!$C$8:$N$8</c15:sqref>
                  </c15:fullRef>
                </c:ext>
              </c:extLst>
              <c:f>Confronto!$C$8:$E$8</c:f>
            </c:numRef>
          </c:val>
          <c:smooth val="0"/>
          <c:extLst>
            <c:ext xmlns:c16="http://schemas.microsoft.com/office/drawing/2014/chart" uri="{C3380CC4-5D6E-409C-BE32-E72D297353CC}">
              <c16:uniqueId val="{00000002-33F0-4403-A55D-F42B401944E7}"/>
            </c:ext>
          </c:extLst>
        </c:ser>
        <c:ser>
          <c:idx val="0"/>
          <c:order val="0"/>
          <c:tx>
            <c:strRef>
              <c:f>Confronto!$B$7</c:f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Confronto!$C$6:$N$6</c15:sqref>
                  </c15:fullRef>
                </c:ext>
              </c:extLst>
              <c:f>Confronto!$C$6:$E$6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Confronto!$C$7:$N$7</c15:sqref>
                  </c15:fullRef>
                </c:ext>
              </c:extLst>
              <c:f>Confronto!$C$7:$E$7</c:f>
            </c:numRef>
          </c:val>
          <c:smooth val="0"/>
          <c:extLst>
            <c:ext xmlns:c16="http://schemas.microsoft.com/office/drawing/2014/chart" uri="{C3380CC4-5D6E-409C-BE32-E72D297353CC}">
              <c16:uniqueId val="{00000001-33F0-4403-A55D-F42B401944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507520"/>
        <c:axId val="92504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Confronto!$B$9</c15:sqref>
                        </c15:formulaRef>
                      </c:ext>
                    </c:extLst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Confronto!$C$6:$N$6</c15:sqref>
                        </c15:fullRef>
                        <c15:formulaRef>
                          <c15:sqref>Confronto!$C$6:$E$6</c15:sqref>
                        </c15:formulaRef>
                      </c:ext>
                    </c:extLst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Confronto!$C$9:$N$9</c15:sqref>
                        </c15:fullRef>
                        <c15:formulaRef>
                          <c15:sqref>Confronto!$C$9:$E$9</c15:sqref>
                        </c15:formulaRef>
                      </c:ext>
                    </c:extLst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3F0-4403-A55D-F42B401944E7}"/>
                  </c:ext>
                </c:extLst>
              </c15:ser>
            </c15:filteredLineSeries>
          </c:ext>
        </c:extLst>
      </c:lineChart>
      <c:dateAx>
        <c:axId val="92507520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504160"/>
        <c:crosses val="autoZero"/>
        <c:auto val="1"/>
        <c:lblOffset val="100"/>
        <c:baseTimeUnit val="months"/>
      </c:dateAx>
      <c:valAx>
        <c:axId val="92504160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507520"/>
        <c:crosses val="autoZero"/>
        <c:crossBetween val="between"/>
      </c:valAx>
      <c:valAx>
        <c:axId val="746130207"/>
        <c:scaling>
          <c:orientation val="minMax"/>
        </c:scaling>
        <c:delete val="1"/>
        <c:axPos val="r"/>
        <c:numFmt formatCode="0.0" sourceLinked="1"/>
        <c:majorTickMark val="out"/>
        <c:minorTickMark val="none"/>
        <c:tickLblPos val="nextTo"/>
        <c:crossAx val="746128287"/>
        <c:crosses val="max"/>
        <c:crossBetween val="between"/>
      </c:valAx>
      <c:dateAx>
        <c:axId val="746128287"/>
        <c:scaling>
          <c:orientation val="minMax"/>
        </c:scaling>
        <c:delete val="1"/>
        <c:axPos val="t"/>
        <c:numFmt formatCode="[$-416]mmm\-yy;@" sourceLinked="1"/>
        <c:majorTickMark val="out"/>
        <c:minorTickMark val="none"/>
        <c:tickLblPos val="nextTo"/>
        <c:crossAx val="746130207"/>
        <c:crosses val="max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Confronto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Confronto!$B$12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Confronto!$P$11:$S$11</c:f>
            </c:strRef>
          </c:cat>
          <c:val>
            <c:numRef>
              <c:f>Confronto!$P$12:$S$12</c:f>
            </c:numRef>
          </c:val>
          <c:extLst>
            <c:ext xmlns:c16="http://schemas.microsoft.com/office/drawing/2014/chart" uri="{C3380CC4-5D6E-409C-BE32-E72D297353CC}">
              <c16:uniqueId val="{00000000-F8EB-497C-AC6A-D8F3B9BD7E4B}"/>
            </c:ext>
          </c:extLst>
        </c:ser>
        <c:ser>
          <c:idx val="1"/>
          <c:order val="1"/>
          <c:tx>
            <c:strRef>
              <c:f>Confronto!$B$13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Confronto!$P$11:$S$11</c:f>
            </c:strRef>
          </c:cat>
          <c:val>
            <c:numRef>
              <c:f>Confronto!$P$13:$S$13</c:f>
            </c:numRef>
          </c:val>
          <c:extLst>
            <c:ext xmlns:c16="http://schemas.microsoft.com/office/drawing/2014/chart" uri="{C3380CC4-5D6E-409C-BE32-E72D297353CC}">
              <c16:uniqueId val="{00000001-F8EB-497C-AC6A-D8F3B9BD7E4B}"/>
            </c:ext>
          </c:extLst>
        </c:ser>
        <c:ser>
          <c:idx val="2"/>
          <c:order val="2"/>
          <c:tx>
            <c:strRef>
              <c:f>Confronto!$B$14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Confronto!$P$11:$S$11</c:f>
            </c:strRef>
          </c:cat>
          <c:val>
            <c:numRef>
              <c:f>Confronto!$P$14:$S$14</c:f>
            </c:numRef>
          </c:val>
          <c:extLst>
            <c:ext xmlns:c16="http://schemas.microsoft.com/office/drawing/2014/chart" uri="{C3380CC4-5D6E-409C-BE32-E72D297353CC}">
              <c16:uniqueId val="{00000002-F8EB-497C-AC6A-D8F3B9BD7E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2507520"/>
        <c:axId val="92504160"/>
      </c:barChart>
      <c:catAx>
        <c:axId val="9250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504160"/>
        <c:crosses val="autoZero"/>
        <c:auto val="1"/>
        <c:lblAlgn val="ctr"/>
        <c:lblOffset val="100"/>
        <c:noMultiLvlLbl val="0"/>
      </c:catAx>
      <c:valAx>
        <c:axId val="9250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50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789085243826211E-2"/>
          <c:y val="3.3524904214559385E-2"/>
          <c:w val="0.86568698755558626"/>
          <c:h val="0.90477305638519323"/>
        </c:manualLayout>
      </c:layout>
      <c:lineChart>
        <c:grouping val="stacked"/>
        <c:varyColors val="0"/>
        <c:ser>
          <c:idx val="1"/>
          <c:order val="0"/>
          <c:tx>
            <c:strRef>
              <c:f>'Caixa Livre'!$J$3</c:f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'Caixa Livre'!$F$7:$F$18</c:f>
            </c:numRef>
          </c:cat>
          <c:val>
            <c:numRef>
              <c:f>'Caixa Livre'!$J$7:$J$18</c:f>
            </c:numRef>
          </c:val>
          <c:smooth val="0"/>
          <c:extLst>
            <c:ext xmlns:c16="http://schemas.microsoft.com/office/drawing/2014/chart" uri="{C3380CC4-5D6E-409C-BE32-E72D297353CC}">
              <c16:uniqueId val="{00000000-1601-4C98-9568-0A5D5FEE4371}"/>
            </c:ext>
          </c:extLst>
        </c:ser>
        <c:ser>
          <c:idx val="0"/>
          <c:order val="1"/>
          <c:tx>
            <c:v>ACT + Bgt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'Caixa Livre'!$F$7:$F$18</c:f>
            </c:numRef>
          </c:cat>
          <c:val>
            <c:numRef>
              <c:f>'Caixa Livre'!$L$7:$L$18</c:f>
            </c:numRef>
          </c:val>
          <c:smooth val="0"/>
          <c:extLst>
            <c:ext xmlns:c16="http://schemas.microsoft.com/office/drawing/2014/chart" uri="{C3380CC4-5D6E-409C-BE32-E72D297353CC}">
              <c16:uniqueId val="{00000001-85AF-4D2D-BB5E-E6787889112D}"/>
            </c:ext>
          </c:extLst>
        </c:ser>
        <c:ser>
          <c:idx val="2"/>
          <c:order val="2"/>
          <c:tx>
            <c:strRef>
              <c:f>'Caixa Livre'!$G$3</c:f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'Caixa Livre'!$F$7:$F$18</c:f>
            </c:numRef>
          </c:cat>
          <c:val>
            <c:numRef>
              <c:f>'Caixa Livre'!$G$7:$G$18</c:f>
            </c:numRef>
          </c:val>
          <c:smooth val="0"/>
          <c:extLst>
            <c:ext xmlns:c16="http://schemas.microsoft.com/office/drawing/2014/chart" uri="{C3380CC4-5D6E-409C-BE32-E72D297353CC}">
              <c16:uniqueId val="{00000000-828A-49BD-B3F8-0D4932DFDA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42611656"/>
        <c:axId val="842607720"/>
      </c:lineChart>
      <c:dateAx>
        <c:axId val="842611656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2607720"/>
        <c:crosses val="autoZero"/>
        <c:auto val="1"/>
        <c:lblOffset val="100"/>
        <c:baseTimeUnit val="months"/>
      </c:dateAx>
      <c:valAx>
        <c:axId val="84260772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842611656"/>
        <c:crosses val="autoZero"/>
        <c:crossBetween val="between"/>
      </c:valAx>
      <c:spPr>
        <a:noFill/>
        <a:ln>
          <a:solidFill>
            <a:schemeClr val="accent2">
              <a:lumMod val="75000"/>
            </a:schemeClr>
          </a:solidFill>
        </a:ln>
        <a:effectLst>
          <a:glow rad="254000">
            <a:schemeClr val="accent1">
              <a:alpha val="40000"/>
            </a:schemeClr>
          </a:glow>
          <a:outerShdw blurRad="50800" dist="50800" dir="1200000" algn="ctr" rotWithShape="0">
            <a:srgbClr val="000000">
              <a:alpha val="43137"/>
            </a:srgbClr>
          </a:out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e Caixa 25</a:t>
            </a:r>
            <a:r>
              <a:rPr lang="pt-BR" baseline="0"/>
              <a:t> </a:t>
            </a:r>
            <a:r>
              <a:rPr lang="pt-BR"/>
              <a:t>x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Receita!$B$12</c:f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Receita!$C$11:$N$11</c15:sqref>
                  </c15:fullRef>
                </c:ext>
              </c:extLst>
              <c:f>Receita!$C$11:$E$11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Receita!$C$12:$N$12</c15:sqref>
                  </c15:fullRef>
                </c:ext>
              </c:extLst>
              <c:f>Receita!$C$12:$E$12</c:f>
            </c:numRef>
          </c:val>
          <c:extLst>
            <c:ext xmlns:c16="http://schemas.microsoft.com/office/drawing/2014/chart" uri="{C3380CC4-5D6E-409C-BE32-E72D297353CC}">
              <c16:uniqueId val="{00000000-5063-47C5-8A35-7FCB398A1925}"/>
            </c:ext>
          </c:extLst>
        </c:ser>
        <c:ser>
          <c:idx val="5"/>
          <c:order val="1"/>
          <c:tx>
            <c:strRef>
              <c:f>Receita!$B$13</c:f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Receita!$C$11:$N$11</c15:sqref>
                  </c15:fullRef>
                </c:ext>
              </c:extLst>
              <c:f>Receita!$C$11:$E$11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Receita!$C$13:$N$13</c15:sqref>
                  </c15:fullRef>
                </c:ext>
              </c:extLst>
              <c:f>Receita!$C$13:$E$13</c:f>
            </c:numRef>
          </c:val>
          <c:extLst>
            <c:ext xmlns:c16="http://schemas.microsoft.com/office/drawing/2014/chart" uri="{C3380CC4-5D6E-409C-BE32-E72D297353CC}">
              <c16:uniqueId val="{00000001-5063-47C5-8A35-7FCB398A1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1158320"/>
        <c:axId val="1611158800"/>
        <c:extLst>
          <c:ext xmlns:c15="http://schemas.microsoft.com/office/drawing/2012/chart" uri="{02D57815-91ED-43cb-92C2-25804820EDAC}">
            <c15:filteredBarSeries>
              <c15:ser>
                <c:idx val="1"/>
                <c:order val="4"/>
                <c:tx>
                  <c:v>Receita 24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"/>
                    <c:layout>
                      <c:manualLayout>
                        <c:x val="-1.92017024573478E-2"/>
                        <c:y val="2.205690625768135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202D-4FCB-A2BF-C9F72ECB223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Receita!$C$11:$N$11</c15:sqref>
                        </c15:fullRef>
                        <c15:formulaRef>
                          <c15:sqref>Receita!$C$11:$E$11</c15:sqref>
                        </c15:formulaRef>
                      </c:ext>
                    </c:extLst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Receita!$C$2:$N$2</c15:sqref>
                        </c15:fullRef>
                        <c15:formulaRef>
                          <c15:sqref>Receita!$C$2:$E$2</c15:sqref>
                        </c15:formulaRef>
                      </c:ext>
                    </c:extLst>
                  </c:numRef>
                </c:val>
                <c:extLst>
                  <c:ext xmlns:c16="http://schemas.microsoft.com/office/drawing/2014/chart" uri="{C3380CC4-5D6E-409C-BE32-E72D297353CC}">
                    <c16:uniqueId val="{00000000-202D-4FCB-A2BF-C9F72ECB2233}"/>
                  </c:ext>
                </c:extLst>
              </c15:ser>
            </c15:filteredBarSeries>
            <c15:filteredBarSeries>
              <c15:ser>
                <c:idx val="3"/>
                <c:order val="5"/>
                <c:tx>
                  <c:v>Caixa 24</c:v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Receita!$C$11:$N$11</c15:sqref>
                        </c15:fullRef>
                        <c15:formulaRef>
                          <c15:sqref>Receita!$C$11:$E$11</c15:sqref>
                        </c15:formulaRef>
                      </c:ext>
                    </c:extLst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Receita!$C$3:$N$3</c15:sqref>
                        </c15:fullRef>
                        <c15:formulaRef>
                          <c15:sqref>Receita!$C$3:$E$3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02D-4FCB-A2BF-C9F72ECB223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Receita 25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Receita!$C$6:$N$6</c15:sqref>
                  </c15:fullRef>
                </c:ext>
              </c:extLst>
              <c:f>Receita!$C$6:$E$6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Receita!$C$7:$N$7</c15:sqref>
                  </c15:fullRef>
                </c:ext>
              </c:extLst>
              <c:f>Receita!$C$7:$E$7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7831-4410-B5C2-C677A724EE5C}"/>
            </c:ext>
          </c:extLst>
        </c:ser>
        <c:ser>
          <c:idx val="0"/>
          <c:order val="3"/>
          <c:tx>
            <c:v>Caixa 25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Receita!$C$6:$N$6</c15:sqref>
                  </c15:fullRef>
                </c:ext>
              </c:extLst>
              <c:f>Receita!$C$6:$E$6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Receita!$C$8:$N$8</c15:sqref>
                  </c15:fullRef>
                </c:ext>
              </c:extLst>
              <c:f>Receita!$C$8:$E$8</c:f>
            </c:numRef>
          </c:val>
          <c:smooth val="0"/>
          <c:extLst>
            <c:ext xmlns:c16="http://schemas.microsoft.com/office/drawing/2014/chart" uri="{C3380CC4-5D6E-409C-BE32-E72D297353CC}">
              <c16:uniqueId val="{00000000-7831-4410-B5C2-C677A724E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840863"/>
        <c:axId val="1360839423"/>
      </c:lineChart>
      <c:dateAx>
        <c:axId val="1611158320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611158800"/>
        <c:crosses val="autoZero"/>
        <c:auto val="1"/>
        <c:lblOffset val="100"/>
        <c:baseTimeUnit val="months"/>
      </c:dateAx>
      <c:valAx>
        <c:axId val="16111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158320"/>
        <c:crosses val="autoZero"/>
        <c:crossBetween val="between"/>
      </c:valAx>
      <c:valAx>
        <c:axId val="136083942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0840863"/>
        <c:crosses val="max"/>
        <c:crossBetween val="between"/>
      </c:valAx>
      <c:dateAx>
        <c:axId val="136084086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360839423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Comparativo Receita</a:t>
            </a:r>
            <a:r>
              <a:rPr lang="pt-BR" baseline="0"/>
              <a:t> x Caixa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Receita!$B$12</c:f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Receita!$C$11:$N$11</c:f>
            </c:numRef>
          </c:cat>
          <c:val>
            <c:numRef>
              <c:f>Receita!$C$12:$N$12</c:f>
            </c:numRef>
          </c:val>
          <c:extLst>
            <c:ext xmlns:c16="http://schemas.microsoft.com/office/drawing/2014/chart" uri="{C3380CC4-5D6E-409C-BE32-E72D297353CC}">
              <c16:uniqueId val="{00000000-ABBC-4BD1-B315-1C57C38CBDCB}"/>
            </c:ext>
          </c:extLst>
        </c:ser>
        <c:ser>
          <c:idx val="3"/>
          <c:order val="3"/>
          <c:tx>
            <c:strRef>
              <c:f>Receita!$B$13</c:f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Receita!$C$11:$N$11</c:f>
            </c:numRef>
          </c:cat>
          <c:val>
            <c:numRef>
              <c:f>Receita!$C$13:$N$13</c:f>
            </c:numRef>
          </c:val>
          <c:extLst>
            <c:ext xmlns:c16="http://schemas.microsoft.com/office/drawing/2014/chart" uri="{C3380CC4-5D6E-409C-BE32-E72D297353CC}">
              <c16:uniqueId val="{00000001-ABBC-4BD1-B315-1C57C38CB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9179248"/>
        <c:axId val="1379179728"/>
      </c:barChart>
      <c:lineChart>
        <c:grouping val="standard"/>
        <c:varyColors val="0"/>
        <c:ser>
          <c:idx val="0"/>
          <c:order val="0"/>
          <c:tx>
            <c:strRef>
              <c:f>Receita!$B$7</c:f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Receita!$C$11:$N$11</c:f>
              <c:extLst xmlns:c15="http://schemas.microsoft.com/office/drawing/2012/chart"/>
            </c:numRef>
          </c:cat>
          <c:val>
            <c:numRef>
              <c:f>Receita!$C$7:$N$7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3AE-483F-8501-884E6A3C2485}"/>
            </c:ext>
          </c:extLst>
        </c:ser>
        <c:ser>
          <c:idx val="1"/>
          <c:order val="1"/>
          <c:tx>
            <c:strRef>
              <c:f>Receita!$B$8</c:f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Receita!$C$11:$N$11</c:f>
              <c:extLst xmlns:c15="http://schemas.microsoft.com/office/drawing/2012/chart"/>
            </c:numRef>
          </c:cat>
          <c:val>
            <c:numRef>
              <c:f>Receita!$C$8:$N$8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3AE-483F-8501-884E6A3C2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179248"/>
        <c:axId val="1379179728"/>
      </c:lineChart>
      <c:dateAx>
        <c:axId val="1379179248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9179728"/>
        <c:crosses val="autoZero"/>
        <c:auto val="1"/>
        <c:lblOffset val="100"/>
        <c:baseTimeUnit val="months"/>
      </c:dateAx>
      <c:valAx>
        <c:axId val="137917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917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 -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Despesa 26</c:v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Despesa!$C$11:$N$11</c15:sqref>
                  </c15:fullRef>
                </c:ext>
              </c:extLst>
              <c:f>Despesa!$C$11:$E$11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Despesa!$C$13:$N$13</c15:sqref>
                  </c15:fullRef>
                </c:ext>
              </c:extLst>
              <c:f>Despesa!$C$13:$E$13</c:f>
            </c:numRef>
          </c:val>
          <c:smooth val="0"/>
          <c:extLst>
            <c:ext xmlns:c16="http://schemas.microsoft.com/office/drawing/2014/chart" uri="{C3380CC4-5D6E-409C-BE32-E72D297353CC}">
              <c16:uniqueId val="{00000000-7AC2-4368-AF3E-DDDA3F9728A3}"/>
            </c:ext>
          </c:extLst>
        </c:ser>
        <c:ser>
          <c:idx val="0"/>
          <c:order val="1"/>
          <c:tx>
            <c:v>Despesa 25</c:v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Despesa!$C$6:$N$6</c15:sqref>
                  </c15:fullRef>
                </c:ext>
              </c:extLst>
              <c:f>Despesa!$C$6:$E$6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Despesa!$C$8:$N$8</c15:sqref>
                  </c15:fullRef>
                </c:ext>
              </c:extLst>
              <c:f>Despesa!$C$8:$E$8</c:f>
            </c:numRef>
          </c:val>
          <c:smooth val="0"/>
          <c:extLst>
            <c:ext xmlns:c16="http://schemas.microsoft.com/office/drawing/2014/chart" uri="{C3380CC4-5D6E-409C-BE32-E72D297353CC}">
              <c16:uniqueId val="{00000000-5DAA-4DB8-9F77-476D5D5264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25084368"/>
        <c:axId val="1525089168"/>
        <c:extLst>
          <c:ext xmlns:c15="http://schemas.microsoft.com/office/drawing/2012/chart" uri="{02D57815-91ED-43cb-92C2-25804820EDAC}">
            <c15:filteredLineSeries>
              <c15:ser>
                <c:idx val="1"/>
                <c:order val="2"/>
                <c:tx>
                  <c:v>Despesa 24</c:v>
                </c:tx>
                <c:spPr>
                  <a:ln w="19050" cap="rnd" cmpd="sng" algn="ctr">
                    <a:solidFill>
                      <a:schemeClr val="accent4"/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4"/>
                    </a:solidFill>
                    <a:ln w="6350" cap="flat" cmpd="sng" algn="ctr">
                      <a:solidFill>
                        <a:schemeClr val="accent4"/>
                      </a:solidFill>
                      <a:prstDash val="solid"/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Despesa!$C$11:$N$11</c15:sqref>
                        </c15:fullRef>
                        <c15:formulaRef>
                          <c15:sqref>Despesa!$C$11:$E$11</c15:sqref>
                        </c15:formulaRef>
                      </c:ext>
                    </c:extLst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Despesa!$C$2:$N$2</c15:sqref>
                        </c15:fullRef>
                        <c15:formulaRef>
                          <c15:sqref>Despesa!$C$2:$E$2</c15:sqref>
                        </c15:formulaRef>
                      </c:ext>
                    </c:extLst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DAA-4DB8-9F77-476D5D526418}"/>
                  </c:ext>
                </c:extLst>
              </c15:ser>
            </c15:filteredLineSeries>
          </c:ext>
        </c:extLst>
      </c:lineChart>
      <c:dateAx>
        <c:axId val="1525084368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254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089168"/>
        <c:crosses val="autoZero"/>
        <c:auto val="1"/>
        <c:lblOffset val="100"/>
        <c:baseTimeUnit val="months"/>
      </c:dateAx>
      <c:valAx>
        <c:axId val="152508916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52508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FOPAG - jan/2026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FOPAG!$E$2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FOPAG!$E$3:$E$6</c:f>
            </c:numRef>
          </c:val>
          <c:extLst>
            <c:ext xmlns:c16="http://schemas.microsoft.com/office/drawing/2014/chart" uri="{C3380CC4-5D6E-409C-BE32-E72D297353CC}">
              <c16:uniqueId val="{00000000-91CB-4DCC-B7F9-F21FD63E2AE5}"/>
            </c:ext>
          </c:extLst>
        </c:ser>
        <c:ser>
          <c:idx val="1"/>
          <c:order val="1"/>
          <c:tx>
            <c:strRef>
              <c:f>FOPAG!$F$2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FOPAG!$F$3:$F$6</c:f>
            </c:numRef>
          </c:val>
          <c:extLst>
            <c:ext xmlns:c16="http://schemas.microsoft.com/office/drawing/2014/chart" uri="{C3380CC4-5D6E-409C-BE32-E72D297353CC}">
              <c16:uniqueId val="{00000001-91CB-4DCC-B7F9-F21FD63E2AE5}"/>
            </c:ext>
          </c:extLst>
        </c:ser>
        <c:ser>
          <c:idx val="2"/>
          <c:order val="2"/>
          <c:tx>
            <c:strRef>
              <c:f>FOPAG!$G$2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FOPAG!$G$3:$G$6</c:f>
            </c:numRef>
          </c:val>
          <c:extLst>
            <c:ext xmlns:c16="http://schemas.microsoft.com/office/drawing/2014/chart" uri="{C3380CC4-5D6E-409C-BE32-E72D297353CC}">
              <c16:uniqueId val="{00000002-91CB-4DCC-B7F9-F21FD63E2AE5}"/>
            </c:ext>
          </c:extLst>
        </c:ser>
        <c:ser>
          <c:idx val="3"/>
          <c:order val="3"/>
          <c:tx>
            <c:strRef>
              <c:f>FOPAG!$H$2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FOPAG!$H$3:$H$6</c:f>
            </c:numRef>
          </c:val>
          <c:extLst>
            <c:ext xmlns:c16="http://schemas.microsoft.com/office/drawing/2014/chart" uri="{C3380CC4-5D6E-409C-BE32-E72D297353CC}">
              <c16:uniqueId val="{00000003-91CB-4DCC-B7F9-F21FD63E2AE5}"/>
            </c:ext>
          </c:extLst>
        </c:ser>
        <c:ser>
          <c:idx val="4"/>
          <c:order val="4"/>
          <c:tx>
            <c:strRef>
              <c:f>FOPAG!$I$2</c:f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FOPAG!$I$3:$I$6</c:f>
            </c:numRef>
          </c:val>
          <c:extLst>
            <c:ext xmlns:c16="http://schemas.microsoft.com/office/drawing/2014/chart" uri="{C3380CC4-5D6E-409C-BE32-E72D297353CC}">
              <c16:uniqueId val="{00000000-95D3-489F-9C50-CC0EE0A9E859}"/>
            </c:ext>
          </c:extLst>
        </c:ser>
        <c:ser>
          <c:idx val="5"/>
          <c:order val="5"/>
          <c:tx>
            <c:strRef>
              <c:f>FOPAG!$J$2</c:f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FOPAG!$J$3:$J$6</c:f>
            </c:numRef>
          </c:val>
          <c:extLst>
            <c:ext xmlns:c16="http://schemas.microsoft.com/office/drawing/2014/chart" uri="{C3380CC4-5D6E-409C-BE32-E72D297353CC}">
              <c16:uniqueId val="{00000001-95D3-489F-9C50-CC0EE0A9E859}"/>
            </c:ext>
          </c:extLst>
        </c:ser>
        <c:ser>
          <c:idx val="6"/>
          <c:order val="6"/>
          <c:tx>
            <c:strRef>
              <c:f>FOPAG!$K$2</c:f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FOPAG!$K$3:$K$6</c:f>
            </c:numRef>
          </c:val>
          <c:extLst>
            <c:ext xmlns:c16="http://schemas.microsoft.com/office/drawing/2014/chart" uri="{C3380CC4-5D6E-409C-BE32-E72D297353CC}">
              <c16:uniqueId val="{00000002-95D3-489F-9C50-CC0EE0A9E859}"/>
            </c:ext>
          </c:extLst>
        </c:ser>
        <c:ser>
          <c:idx val="7"/>
          <c:order val="7"/>
          <c:tx>
            <c:strRef>
              <c:f>FOPAG!$L$2</c:f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FOPAG!$L$3:$L$6</c:f>
            </c:numRef>
          </c:val>
          <c:extLst>
            <c:ext xmlns:c16="http://schemas.microsoft.com/office/drawing/2014/chart" uri="{C3380CC4-5D6E-409C-BE32-E72D297353CC}">
              <c16:uniqueId val="{00000003-95D3-489F-9C50-CC0EE0A9E859}"/>
            </c:ext>
          </c:extLst>
        </c:ser>
        <c:ser>
          <c:idx val="8"/>
          <c:order val="8"/>
          <c:tx>
            <c:strRef>
              <c:f>FOPAG!$M$2</c:f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FOPAG!$M$3:$M$6</c:f>
            </c:numRef>
          </c:val>
          <c:extLst>
            <c:ext xmlns:c16="http://schemas.microsoft.com/office/drawing/2014/chart" uri="{C3380CC4-5D6E-409C-BE32-E72D297353CC}">
              <c16:uniqueId val="{00000004-95D3-489F-9C50-CC0EE0A9E859}"/>
            </c:ext>
          </c:extLst>
        </c:ser>
        <c:ser>
          <c:idx val="9"/>
          <c:order val="9"/>
          <c:tx>
            <c:strRef>
              <c:f>FOPAG!$N$2</c:f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FOPAG!$N$3:$N$6</c:f>
            </c:numRef>
          </c:val>
          <c:extLst>
            <c:ext xmlns:c16="http://schemas.microsoft.com/office/drawing/2014/chart" uri="{C3380CC4-5D6E-409C-BE32-E72D297353CC}">
              <c16:uniqueId val="{00000005-95D3-489F-9C50-CC0EE0A9E859}"/>
            </c:ext>
          </c:extLst>
        </c:ser>
        <c:ser>
          <c:idx val="10"/>
          <c:order val="10"/>
          <c:tx>
            <c:strRef>
              <c:f>FOPAG!$O$2</c:f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FOPAG!$O$3:$O$6</c:f>
            </c:numRef>
          </c:val>
          <c:extLst>
            <c:ext xmlns:c16="http://schemas.microsoft.com/office/drawing/2014/chart" uri="{C3380CC4-5D6E-409C-BE32-E72D297353CC}">
              <c16:uniqueId val="{00000006-95D3-489F-9C50-CC0EE0A9E859}"/>
            </c:ext>
          </c:extLst>
        </c:ser>
        <c:ser>
          <c:idx val="11"/>
          <c:order val="11"/>
          <c:tx>
            <c:strRef>
              <c:f>FOPAG!$P$2</c:f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FOPAG!$P$3:$P$6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95D3-489F-9C50-CC0EE0A9E859}"/>
            </c:ext>
          </c:extLst>
        </c:ser>
        <c:ser>
          <c:idx val="12"/>
          <c:order val="12"/>
          <c:tx>
            <c:strRef>
              <c:f>FOPAG!$D$26</c:f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FOPAG!$E$26:$P$26</c:f>
            </c:numRef>
          </c:val>
          <c:extLst>
            <c:ext xmlns:c16="http://schemas.microsoft.com/office/drawing/2014/chart" uri="{C3380CC4-5D6E-409C-BE32-E72D297353CC}">
              <c16:uniqueId val="{00000000-A9DC-4CB1-997C-AC6A09AB495E}"/>
            </c:ext>
          </c:extLst>
        </c:ser>
        <c:ser>
          <c:idx val="13"/>
          <c:order val="13"/>
          <c:tx>
            <c:strRef>
              <c:f>FOPAG!$D$27</c:f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FOPAG!$E$27:$P$27</c:f>
            </c:numRef>
          </c:val>
          <c:extLst>
            <c:ext xmlns:c16="http://schemas.microsoft.com/office/drawing/2014/chart" uri="{C3380CC4-5D6E-409C-BE32-E72D297353CC}">
              <c16:uniqueId val="{00000002-A9DC-4CB1-997C-AC6A09AB495E}"/>
            </c:ext>
          </c:extLst>
        </c:ser>
        <c:ser>
          <c:idx val="14"/>
          <c:order val="14"/>
          <c:tx>
            <c:strRef>
              <c:f>FOPAG!$D$28</c:f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FOPAG!$E$28:$P$28</c:f>
            </c:numRef>
          </c:val>
          <c:extLst>
            <c:ext xmlns:c16="http://schemas.microsoft.com/office/drawing/2014/chart" uri="{C3380CC4-5D6E-409C-BE32-E72D297353CC}">
              <c16:uniqueId val="{00000003-A9DC-4CB1-997C-AC6A09AB495E}"/>
            </c:ext>
          </c:extLst>
        </c:ser>
        <c:ser>
          <c:idx val="15"/>
          <c:order val="15"/>
          <c:tx>
            <c:strRef>
              <c:f>FOPAG!$D$29</c:f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FOPAG!$E$33:$P$33</c:f>
            </c:strRef>
          </c:cat>
          <c:val>
            <c:numRef>
              <c:f>FOPAG!$E$29:$P$29</c:f>
            </c:numRef>
          </c:val>
          <c:extLst>
            <c:ext xmlns:c16="http://schemas.microsoft.com/office/drawing/2014/chart" uri="{C3380CC4-5D6E-409C-BE32-E72D297353CC}">
              <c16:uniqueId val="{00000004-A9DC-4CB1-997C-AC6A09AB4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4543"/>
        <c:axId val="29625023"/>
      </c:barChart>
      <c:valAx>
        <c:axId val="2962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24543"/>
        <c:crosses val="autoZero"/>
        <c:crossBetween val="between"/>
      </c:valAx>
      <c:catAx>
        <c:axId val="2962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25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Variação de Faturamentos (12 meses)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'Faturamento FY'!$D$4</c:f>
            </c:strRef>
          </c:tx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shade val="65000"/>
                </a:schemeClr>
              </a:solidFill>
              <a:ln w="9525">
                <a:solidFill>
                  <a:schemeClr val="accent2">
                    <a:shade val="65000"/>
                  </a:schemeClr>
                </a:solidFill>
              </a:ln>
              <a:effectLst/>
            </c:spPr>
          </c:marker>
          <c:dLbls>
            <c:numFmt formatCode="#,##0.0" sourceLinked="0"/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'Faturamento FY'!$F$6:$F$28</c15:sqref>
                  </c15:fullRef>
                </c:ext>
              </c:extLst>
              <c:f>'Faturamento FY'!$F$8:$F$19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'Faturamento FY'!$K$4</c15:sqref>
                  </c15:fullRef>
                </c:ext>
              </c:extLst>
              <c:f/>
            </c:numRef>
          </c:val>
          <c:smooth val="0"/>
          <c:extLst>
            <c:ext xmlns:c16="http://schemas.microsoft.com/office/drawing/2014/chart" uri="{C3380CC4-5D6E-409C-BE32-E72D297353CC}">
              <c16:uniqueId val="{00000002-C3FE-4981-9D7D-BE0977053C6D}"/>
            </c:ext>
          </c:extLst>
        </c:ser>
        <c:ser>
          <c:idx val="1"/>
          <c:order val="1"/>
          <c:tx>
            <c:strRef>
              <c:f>'Faturamento FY'!$D$5</c:f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'Faturamento FY'!$F$6:$F$28</c15:sqref>
                  </c15:fullRef>
                </c:ext>
              </c:extLst>
              <c:f>'Faturamento FY'!$F$8:$F$19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'Faturamento FY'!$K$5</c15:sqref>
                  </c15:fullRef>
                </c:ext>
              </c:extLst>
              <c:f/>
            </c:numRef>
          </c:val>
          <c:smooth val="0"/>
          <c:extLst>
            <c:ext xmlns:c16="http://schemas.microsoft.com/office/drawing/2014/chart" uri="{C3380CC4-5D6E-409C-BE32-E72D297353CC}">
              <c16:uniqueId val="{00000000-69FC-4BCC-BE4C-378DABEAFA97}"/>
            </c:ext>
          </c:extLst>
        </c:ser>
        <c:ser>
          <c:idx val="2"/>
          <c:order val="2"/>
          <c:tx>
            <c:strRef>
              <c:f>'Faturamento FY'!$G$3</c:f>
            </c:strRef>
          </c:tx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65000"/>
                </a:schemeClr>
              </a:solidFill>
              <a:ln w="9525">
                <a:solidFill>
                  <a:schemeClr val="accent2">
                    <a:tint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'Faturamento FY'!$F$6:$F$28</c15:sqref>
                  </c15:fullRef>
                </c:ext>
              </c:extLst>
              <c:f>'Faturamento FY'!$F$8:$F$19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'Faturamento FY'!$G$6:$G$28</c15:sqref>
                  </c15:fullRef>
                </c:ext>
              </c:extLst>
              <c:f>'Faturamento FY'!$G$8:$G$19</c:f>
            </c:numRef>
          </c:val>
          <c:smooth val="0"/>
          <c:extLst>
            <c:ext xmlns:c16="http://schemas.microsoft.com/office/drawing/2014/chart" uri="{C3380CC4-5D6E-409C-BE32-E72D297353CC}">
              <c16:uniqueId val="{00000001-2928-4C02-84B5-AEC61185B5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2611656"/>
        <c:axId val="842607720"/>
      </c:lineChart>
      <c:dateAx>
        <c:axId val="842611656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2607720"/>
        <c:crosses val="autoZero"/>
        <c:auto val="1"/>
        <c:lblOffset val="100"/>
        <c:baseTimeUnit val="months"/>
      </c:dateAx>
      <c:valAx>
        <c:axId val="842607720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84261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Estoque (últimos 12 meses)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'Estoque - Ativo'!$B$2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'Estoque - Ativo'!$A$3:$A$27</c15:sqref>
                  </c15:fullRef>
                </c:ext>
              </c:extLst>
              <c:f>'Estoque - Ativo'!$A$7:$A$18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'Estoque - Ativo'!$B$3:$B$27</c15:sqref>
                  </c15:fullRef>
                </c:ext>
              </c:extLst>
              <c:f>'Estoque - Ativo'!$B$7:$B$18</c:f>
            </c:numRef>
          </c:val>
          <c:extLst>
            <c:ext xmlns:c16="http://schemas.microsoft.com/office/drawing/2014/chart" uri="{C3380CC4-5D6E-409C-BE32-E72D297353CC}">
              <c16:uniqueId val="{00000000-F562-4378-A9C2-023157E18E18}"/>
            </c:ext>
          </c:extLst>
        </c:ser>
        <c:ser>
          <c:idx val="1"/>
          <c:order val="1"/>
          <c:tx>
            <c:strRef>
              <c:f>'Estoque - Ativo'!$C$2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'Estoque - Ativo'!$A$3:$A$27</c15:sqref>
                  </c15:fullRef>
                </c:ext>
              </c:extLst>
              <c:f>'Estoque - Ativo'!$A$7:$A$18</c:f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'Estoque - Ativo'!$C$3:$C$27</c15:sqref>
                  </c15:fullRef>
                </c:ext>
              </c:extLst>
              <c:f>'Estoque - Ativo'!$C$7:$C$18</c:f>
            </c:numRef>
          </c:val>
          <c:extLst>
            <c:ext xmlns:c16="http://schemas.microsoft.com/office/drawing/2014/chart" uri="{C3380CC4-5D6E-409C-BE32-E72D297353CC}">
              <c16:uniqueId val="{00000001-F562-4378-A9C2-023157E18E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56458767"/>
        <c:axId val="1156459247"/>
      </c:barChart>
      <c:dateAx>
        <c:axId val="1156458767"/>
        <c:scaling>
          <c:orientation val="minMax"/>
        </c:scaling>
        <c:delete val="0"/>
        <c:axPos val="l"/>
        <c:numFmt formatCode="[$-416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6459247"/>
        <c:crosses val="autoZero"/>
        <c:auto val="1"/>
        <c:lblOffset val="100"/>
        <c:baseTimeUnit val="months"/>
      </c:dateAx>
      <c:valAx>
        <c:axId val="1156459247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15645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'Lin vs Ins'!$G$2:$H$2</c:f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 vs Ins'!$F$7:$F$18</c:f>
            </c:numRef>
          </c:cat>
          <c:val>
            <c:numRef>
              <c:f>'Lin vs Ins'!$H$7:$H$18</c:f>
            </c:numRef>
          </c:val>
          <c:smooth val="0"/>
          <c:extLst>
            <c:ext xmlns:c16="http://schemas.microsoft.com/office/drawing/2014/chart" uri="{C3380CC4-5D6E-409C-BE32-E72D297353CC}">
              <c16:uniqueId val="{00000002-164D-4FD3-A49F-2A3D2F85CCE9}"/>
            </c:ext>
          </c:extLst>
        </c:ser>
        <c:ser>
          <c:idx val="1"/>
          <c:order val="1"/>
          <c:tx>
            <c:strRef>
              <c:f>'Lin vs Ins'!$I$2:$J$2</c:f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rgbClr val="D76B8A"/>
              </a:solidFill>
              <a:ln w="9525">
                <a:solidFill>
                  <a:srgbClr val="D76B8A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 vs Ins'!$F$7:$F$18</c:f>
            </c:numRef>
          </c:cat>
          <c:val>
            <c:numRef>
              <c:f>'Lin vs Ins'!$J$7:$J$18</c:f>
            </c:numRef>
          </c:val>
          <c:smooth val="0"/>
          <c:extLst>
            <c:ext xmlns:c16="http://schemas.microsoft.com/office/drawing/2014/chart" uri="{C3380CC4-5D6E-409C-BE32-E72D297353CC}">
              <c16:uniqueId val="{00000004-164D-4FD3-A49F-2A3D2F85CC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2611656"/>
        <c:axId val="842607720"/>
      </c:lineChart>
      <c:dateAx>
        <c:axId val="842611656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2607720"/>
        <c:crosses val="autoZero"/>
        <c:auto val="1"/>
        <c:lblOffset val="100"/>
        <c:baseTimeUnit val="months"/>
      </c:dateAx>
      <c:valAx>
        <c:axId val="842607720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84261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5.xml.rels><?xml version='1.0' encoding='UTF-8' standalone='yes'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'1.0' encoding='UTF-8' standalone='yes'?>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'1.0' encoding='UTF-8' standalone='yes'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'1.0' encoding='UTF-8' standalone='yes'?>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3.xml.rels><?xml version='1.0' encoding='UTF-8' standalone='yes'?>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4.xml.rels><?xml version='1.0' encoding='UTF-8' standalone='yes'?>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5.xml.rels><?xml version='1.0' encoding='UTF-8' standalone='yes'?>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7.xml.rels><?xml version='1.0' encoding='UTF-8' standalone='yes'?>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8.xml.rels><?xml version='1.0' encoding='UTF-8' standalone='yes'?>
<Relationships xmlns="http://schemas.openxmlformats.org/package/2006/relationships"><Relationship Id="rId1" Type="http://schemas.openxmlformats.org/officeDocument/2006/relationships/chart" Target="../charts/chart25.xml"/></Relationship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366625</xdr:colOff>
      <xdr:row>20</xdr:row>
      <xdr:rowOff>180536</xdr:rowOff>
    </xdr:from>
    <xdr:to>
      <xdr:col>15</xdr:col>
      <xdr:colOff>274320</xdr:colOff>
      <xdr:row>44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FBD282-D3FD-404E-AA1C-49BC26467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126975</xdr:colOff>
      <xdr:row>16</xdr:row>
      <xdr:rowOff>116611</xdr:rowOff>
    </xdr:from>
    <xdr:to>
      <xdr:col>11</xdr:col>
      <xdr:colOff>525835</xdr:colOff>
      <xdr:row>34</xdr:row>
      <xdr:rowOff>184479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98F051-F267-5044-4D3C-AFEDE9FFF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65555</xdr:colOff>
      <xdr:row>16</xdr:row>
      <xdr:rowOff>124945</xdr:rowOff>
    </xdr:from>
    <xdr:to>
      <xdr:col>26</xdr:col>
      <xdr:colOff>262008</xdr:colOff>
      <xdr:row>34</xdr:row>
      <xdr:rowOff>192813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1FAD3C-0806-4538-AE3A-1D2EFBE79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447674</xdr:colOff>
      <xdr:row>1</xdr:row>
      <xdr:rowOff>99060</xdr:rowOff>
    </xdr:from>
    <xdr:to>
      <xdr:col>28</xdr:col>
      <xdr:colOff>464820</xdr:colOff>
      <xdr:row>33</xdr:row>
      <xdr:rowOff>175259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474105</xdr:colOff>
      <xdr:row>16</xdr:row>
      <xdr:rowOff>165971</xdr:rowOff>
    </xdr:from>
    <xdr:to>
      <xdr:col>9</xdr:col>
      <xdr:colOff>308610</xdr:colOff>
      <xdr:row>36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BDFCB5-9DCA-CF06-A9F3-DC14FD55B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698419</xdr:colOff>
      <xdr:row>16</xdr:row>
      <xdr:rowOff>134063</xdr:rowOff>
    </xdr:from>
    <xdr:to>
      <xdr:col>17</xdr:col>
      <xdr:colOff>262650</xdr:colOff>
      <xdr:row>31</xdr:row>
      <xdr:rowOff>162638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C4C4EB-D589-C51D-EEF8-5A06A2994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725089</xdr:colOff>
      <xdr:row>15</xdr:row>
      <xdr:rowOff>76200</xdr:rowOff>
    </xdr:from>
    <xdr:to>
      <xdr:col>9</xdr:col>
      <xdr:colOff>525780</xdr:colOff>
      <xdr:row>33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BF200D-5AC5-4BD8-0AAD-845E30203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578223</xdr:colOff>
      <xdr:row>48</xdr:row>
      <xdr:rowOff>2242</xdr:rowOff>
    </xdr:from>
    <xdr:to>
      <xdr:col>11</xdr:col>
      <xdr:colOff>703169</xdr:colOff>
      <xdr:row>62</xdr:row>
      <xdr:rowOff>78442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DD72B0-EA02-F2B8-96DF-44D238667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5714</xdr:colOff>
      <xdr:row>6</xdr:row>
      <xdr:rowOff>32385</xdr:rowOff>
    </xdr:from>
    <xdr:to>
      <xdr:col>26</xdr:col>
      <xdr:colOff>205740</xdr:colOff>
      <xdr:row>22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5DEECC-C136-494B-A66E-E0F4F3F7D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627529</xdr:colOff>
      <xdr:row>1</xdr:row>
      <xdr:rowOff>89647</xdr:rowOff>
    </xdr:from>
    <xdr:to>
      <xdr:col>14</xdr:col>
      <xdr:colOff>708211</xdr:colOff>
      <xdr:row>21</xdr:row>
      <xdr:rowOff>80682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454FB1-7B08-28BF-166E-848D3F8AF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</xdr:colOff>
      <xdr:row>2</xdr:row>
      <xdr:rowOff>9526</xdr:rowOff>
    </xdr:from>
    <xdr:to>
      <xdr:col>27</xdr:col>
      <xdr:colOff>400051</xdr:colOff>
      <xdr:row>26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C19FE9-5DC2-47FB-B463-CBD3E29A9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7AEDF-DB4C-414D-8B95-CFFF08CE6E3F}" name="Tabela1" displayName="Tabela1" ref="D2:Q7" totalsRowShown="0" headerRowDxfId="117" dataDxfId="116" headerRowCellStyle="Normal 10 3 3 2" dataCellStyle="Comma 5">
  <tableColumns count="14">
    <tableColumn id="1" xr3:uid="{B21484C6-71EF-4D77-93B3-1AC3A8540D23}" name="FOPAG" dataDxfId="115" dataCellStyle="Normal - Style1 8"/>
    <tableColumn id="2" xr3:uid="{D7C91B3B-D0F6-40E6-BB76-CD1948D74D6D}" name="jan-25" dataDxfId="114" dataCellStyle="Comma 5"/>
    <tableColumn id="3" xr3:uid="{59AA5C27-772D-4B9B-BC87-E3EBA28448ED}" name="fev-25" dataDxfId="113" dataCellStyle="Comma 5"/>
    <tableColumn id="4" xr3:uid="{8035A868-8BF7-4226-BD8C-7AC09AD4F0B3}" name="mar-25" dataDxfId="112" dataCellStyle="Comma 5"/>
    <tableColumn id="5" xr3:uid="{F71968B6-E1E6-479C-8FAB-D4922B347559}" name="abr-25" dataDxfId="111" dataCellStyle="Comma 5"/>
    <tableColumn id="6" xr3:uid="{CC0B7AC1-8657-4268-B94B-3E87FA7EE961}" name="mai-25" dataDxfId="110" dataCellStyle="Comma 5"/>
    <tableColumn id="7" xr3:uid="{C6D438AA-B9BF-48F4-BF01-5FF12BE44282}" name="jun-25" dataDxfId="109" dataCellStyle="Comma 5"/>
    <tableColumn id="8" xr3:uid="{807D77A0-0349-4150-AA7C-113085AE3D7A}" name="jul-25" dataDxfId="108" dataCellStyle="Comma 5"/>
    <tableColumn id="9" xr3:uid="{2F9F9B6A-F142-4679-945F-0E22A94528CD}" name="ago-25" dataDxfId="107" dataCellStyle="Comma 5"/>
    <tableColumn id="10" xr3:uid="{31D91A69-2AC2-4788-95D5-503120DA6AF2}" name="set-25" dataDxfId="106" dataCellStyle="Comma 5"/>
    <tableColumn id="11" xr3:uid="{A28D003B-EA5A-4C66-98D9-FAD1D81C443A}" name="out-25" dataDxfId="105" dataCellStyle="Comma 5"/>
    <tableColumn id="12" xr3:uid="{152F037C-1F8E-439B-8D27-DD8E7E072552}" name="nov-25" dataDxfId="104" dataCellStyle="Comma 5"/>
    <tableColumn id="13" xr3:uid="{34DEBDE9-D622-4596-8BEB-515F5DBB44AD}" name="dez-25" dataDxfId="103" dataCellStyle="Comma 5"/>
    <tableColumn id="14" xr3:uid="{43D2641F-1994-4191-8943-464EA00F5EC0}" name="Saldo25" dataDxfId="102" dataCellStyle="Comma 5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A9B9ED-82E6-451A-AFC9-B28453CB5D3C}" name="Tabela13" displayName="Tabela13" ref="D10:Q15" totalsRowShown="0" headerRowDxfId="101" dataDxfId="100" headerRowCellStyle="Normal 10 3 3 2" dataCellStyle="Comma 5">
  <tableColumns count="14">
    <tableColumn id="1" xr3:uid="{48117FB2-C17B-4A81-9DB2-057682EE8E84}" name="FOPAG" dataDxfId="99" dataCellStyle="Normal - Style1 8"/>
    <tableColumn id="2" xr3:uid="{8BBBAC13-55D6-42C9-8034-09D895381AF5}" name="jan-25" dataDxfId="98" dataCellStyle="Comma 5"/>
    <tableColumn id="3" xr3:uid="{60137A5A-C204-46F3-855C-87DD65B2F983}" name="fev-25" dataDxfId="97" dataCellStyle="Comma 5"/>
    <tableColumn id="4" xr3:uid="{5896A076-1ADD-4718-807E-6BF8B3B06D2A}" name="mar-25" dataDxfId="96" dataCellStyle="Comma 5"/>
    <tableColumn id="5" xr3:uid="{C450DC15-7315-4AAA-8B43-88470602712F}" name="abr-25" dataDxfId="95" dataCellStyle="Comma 5"/>
    <tableColumn id="6" xr3:uid="{E477B67E-159A-4156-8FD7-96D3E4C34F2D}" name="mai-25" dataDxfId="94" dataCellStyle="Comma 5"/>
    <tableColumn id="7" xr3:uid="{6DD231D2-16B7-4997-8AAC-33DE064F02C2}" name="jun-25" dataDxfId="93" dataCellStyle="Comma 5"/>
    <tableColumn id="8" xr3:uid="{0776DBD5-4996-42B2-9715-32842C194DAA}" name="jul-25" dataDxfId="92" dataCellStyle="Comma 5"/>
    <tableColumn id="9" xr3:uid="{9AAE66BD-FE45-4C1C-8D1E-5D4ED09B6B9E}" name="ago-25" dataDxfId="91" dataCellStyle="Comma 5"/>
    <tableColumn id="10" xr3:uid="{475511A4-0909-4B23-AE12-9A25F6311FC0}" name="set-25" dataDxfId="90" dataCellStyle="Comma 5"/>
    <tableColumn id="11" xr3:uid="{D82078DC-628C-4085-8BEA-0AD4FE8B6475}" name="out-25" dataDxfId="89" dataCellStyle="Comma 5"/>
    <tableColumn id="12" xr3:uid="{38DEA577-912D-4FDB-BB15-6A12081EEC61}" name="nov-25" dataDxfId="88" dataCellStyle="Comma 5"/>
    <tableColumn id="13" xr3:uid="{F3D80E44-A129-43DE-A696-5C071E37D31B}" name="dez-25" dataDxfId="87" dataCellStyle="Comma 5"/>
    <tableColumn id="14" xr3:uid="{768814B5-0522-4E31-B62F-21B25E4F3CA7}" name="Retirada25" dataDxfId="86" dataCellStyle="Comma 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7CBDDA-A7C7-4A39-8E13-3D92AB9F8848}" name="Tabela135" displayName="Tabela135" ref="D18:Q23" totalsRowShown="0" headerRowDxfId="85" dataDxfId="84" headerRowCellStyle="Normal 10 3 3 2" dataCellStyle="Comma 5">
  <tableColumns count="14">
    <tableColumn id="1" xr3:uid="{EEFDE770-10AF-4EEB-A9CF-404F3DE666A0}" name="FOPAG" dataDxfId="83" dataCellStyle="Normal - Style1 8"/>
    <tableColumn id="2" xr3:uid="{F784EE00-CC62-4BE3-A642-3EBF4E4ACD3A}" name="jan-25" dataDxfId="82" dataCellStyle="Comma 5"/>
    <tableColumn id="3" xr3:uid="{49A5E3BA-31A5-40ED-9B05-28E81DDEB84A}" name="fev-25" dataDxfId="81" dataCellStyle="Comma 5"/>
    <tableColumn id="4" xr3:uid="{7E8B3760-6FFF-4B26-AB28-3713124E19D6}" name="mar-25" dataDxfId="80" dataCellStyle="Comma 5"/>
    <tableColumn id="5" xr3:uid="{3D7A9341-7C82-4E55-A638-81F3A931F0F9}" name="abr-25" dataDxfId="79" dataCellStyle="Comma 5"/>
    <tableColumn id="6" xr3:uid="{C13D4881-5822-4569-9955-7D5475EBB85C}" name="mai-25" dataDxfId="78" dataCellStyle="Comma 5"/>
    <tableColumn id="7" xr3:uid="{EF8B062D-C05A-4ADB-83CB-A196BB445908}" name="jun-25" dataDxfId="77" dataCellStyle="Comma 5"/>
    <tableColumn id="8" xr3:uid="{3AE48FCA-041A-4412-BAC7-B763283E8737}" name="jul-25" dataDxfId="76" dataCellStyle="Comma 5"/>
    <tableColumn id="9" xr3:uid="{8BDD87DC-035A-49ED-8F18-D4B3928B7276}" name="ago-25" dataDxfId="75" dataCellStyle="Comma 5"/>
    <tableColumn id="10" xr3:uid="{E6ACA1A0-C522-4EC8-9492-2EE2FAD7DF20}" name="set-25" dataDxfId="74" dataCellStyle="Comma 5"/>
    <tableColumn id="11" xr3:uid="{3D01EAD5-5C79-435A-908D-8029F90FB43E}" name="out-25" dataDxfId="73" dataCellStyle="Comma 5"/>
    <tableColumn id="12" xr3:uid="{0BFC1357-846D-46CF-89BC-5C8FA3F7F19C}" name="nov-25" dataDxfId="72" dataCellStyle="Comma 5"/>
    <tableColumn id="13" xr3:uid="{3BC3B570-3A09-4A56-B7AD-73455CD8C9DD}" name="dez-25" dataDxfId="71" dataCellStyle="Comma 5"/>
    <tableColumn id="14" xr3:uid="{B8E78E41-9CBC-4FA8-8F3B-9F1593101592}" name="Variação" dataDxfId="70" dataCellStyle="Comma 5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FBE89F-54FF-44AB-9D94-D6108B4F0225}" name="Tabela14" displayName="Tabela14" ref="D25:Q30" totalsRowShown="0" headerRowDxfId="69" dataDxfId="68" headerRowCellStyle="Normal 10 3 3 2" dataCellStyle="Comma 5">
  <tableColumns count="14">
    <tableColumn id="1" xr3:uid="{3A1A033C-C0A3-479E-9C06-EE99BEC36019}" name="FOPAG" dataDxfId="67" dataCellStyle="Normal - Style1 8"/>
    <tableColumn id="2" xr3:uid="{12B49C7D-41B5-4637-B016-41B82AC8911D}" name="jan-26" dataDxfId="66" dataCellStyle="Comma 5"/>
    <tableColumn id="3" xr3:uid="{5EFC162C-9151-4B1F-A56B-01812D426407}" name="fev-26" dataDxfId="65" dataCellStyle="Comma 5"/>
    <tableColumn id="4" xr3:uid="{A3401947-D3EA-4AB3-8EED-A5D1E0D3DF6A}" name="mar-26" dataDxfId="64" dataCellStyle="Comma 5"/>
    <tableColumn id="5" xr3:uid="{95CF0B50-6D0A-4440-BF19-C59EBFC4AC54}" name="abr-26" dataDxfId="63" dataCellStyle="Comma 5"/>
    <tableColumn id="6" xr3:uid="{2EAE3E3B-8A06-4C8B-A658-08321E263717}" name="mai-26" dataDxfId="62" dataCellStyle="Comma 5"/>
    <tableColumn id="7" xr3:uid="{7D635CF9-265A-410C-B5B2-933B9AA6F7F3}" name="jun-26" dataDxfId="61" dataCellStyle="Comma 5"/>
    <tableColumn id="8" xr3:uid="{3F19CAAB-8359-4B08-8262-8C10BC1266EA}" name="jul-26" dataDxfId="60" dataCellStyle="Comma 5"/>
    <tableColumn id="9" xr3:uid="{8329A531-3460-4DEB-A0AC-75D3594D112F}" name="ago-26" dataDxfId="59" dataCellStyle="Comma 5"/>
    <tableColumn id="10" xr3:uid="{B870201D-4718-4F0A-9C2D-117A55578B4E}" name="set-26" dataDxfId="58" dataCellStyle="Comma 5"/>
    <tableColumn id="11" xr3:uid="{9A6B78A3-AD6C-44B9-B040-5652033CDCB4}" name="out-26" dataDxfId="57" dataCellStyle="Comma 5"/>
    <tableColumn id="12" xr3:uid="{D5EC7319-DD9E-46AB-8C7A-F14294FABA50}" name="nov-26" dataDxfId="56" dataCellStyle="Comma 5"/>
    <tableColumn id="13" xr3:uid="{14C9C243-0C44-497B-B377-12D978E15D97}" name="dez-26" dataDxfId="55" dataCellStyle="Comma 5"/>
    <tableColumn id="14" xr3:uid="{4EF6440D-5886-407E-A761-D437FDED2405}" name="Saldo26" dataDxfId="54" dataCellStyle="Comma 5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575155-44CE-412F-81AA-EAD34938A488}" name="Tabela136" displayName="Tabela136" ref="D33:Q38" totalsRowShown="0" headerRowDxfId="53" dataDxfId="52" headerRowCellStyle="Normal 10 3 3 2" dataCellStyle="Comma 5">
  <tableColumns count="14">
    <tableColumn id="1" xr3:uid="{90E81853-4B75-4CFE-B672-EF49545244C3}" name="FOPAG" dataDxfId="51" dataCellStyle="Normal - Style1 8"/>
    <tableColumn id="2" xr3:uid="{6F08457E-8773-4E9F-86EC-6BD62FE49604}" name="jan-26" dataDxfId="50" dataCellStyle="Comma 5"/>
    <tableColumn id="3" xr3:uid="{F0FD92AD-525F-4B92-8576-ADB7B533951D}" name="fev-26" dataDxfId="49" dataCellStyle="Comma 5"/>
    <tableColumn id="4" xr3:uid="{3E70AC5C-455D-4DD3-8B42-A2ED202FDD3D}" name="mar-26" dataDxfId="48" dataCellStyle="Comma 5"/>
    <tableColumn id="5" xr3:uid="{D370FE6E-B2B1-440A-A783-50DEBA03923A}" name="abr-26" dataDxfId="47" dataCellStyle="Comma 5"/>
    <tableColumn id="6" xr3:uid="{3DDE7877-C5AB-487E-86AC-8F9A1EF11A74}" name="mai-26" dataDxfId="46" dataCellStyle="Comma 5"/>
    <tableColumn id="7" xr3:uid="{A5A9A6BD-26DE-44A6-98D5-67F8D98E6007}" name="jun-26" dataDxfId="45" dataCellStyle="Comma 5"/>
    <tableColumn id="8" xr3:uid="{2FAD6C1B-C2A3-43BC-8408-8B7421C94A8C}" name="jul-26" dataDxfId="44" dataCellStyle="Comma 5"/>
    <tableColumn id="9" xr3:uid="{595EFB7E-C0E3-4D36-A244-0D1E562DBEC3}" name="ago-26" dataDxfId="43" dataCellStyle="Comma 5"/>
    <tableColumn id="10" xr3:uid="{8512DA2D-BE67-463B-8BA9-90D8F561FA27}" name="set-26" dataDxfId="42" dataCellStyle="Comma 5"/>
    <tableColumn id="11" xr3:uid="{8C0811D7-D456-4F67-86CA-FD5A5C533F58}" name="out-26" dataDxfId="41" dataCellStyle="Comma 5"/>
    <tableColumn id="12" xr3:uid="{F203235C-295C-4410-8A08-BFB70F2017A0}" name="nov-26" dataDxfId="40" dataCellStyle="Comma 5"/>
    <tableColumn id="13" xr3:uid="{34887763-A5B6-463F-817F-470396C78D7E}" name="dez-26" dataDxfId="39" dataCellStyle="Comma 5"/>
    <tableColumn id="14" xr3:uid="{3EBEDC91-477D-4FA2-977A-6AA7811BF634}" name="Retirada26" dataDxfId="38" dataCellStyle="Comma 5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892E33-1076-40FE-8CA3-4CEC27DBA4C0}" name="Tabela1357" displayName="Tabela1357" ref="D41:Q46" totalsRowShown="0" headerRowDxfId="37" dataDxfId="36" headerRowCellStyle="Normal 10 3 3 2" dataCellStyle="Comma 5">
  <tableColumns count="14">
    <tableColumn id="1" xr3:uid="{FE1072DD-339C-4596-A8A0-7C918377F289}" name="FOPAG" dataDxfId="35" dataCellStyle="Normal - Style1 8"/>
    <tableColumn id="2" xr3:uid="{FA89D0BB-0DA6-4F1E-A18A-34FCB9C86C72}" name="jan-26" dataDxfId="34" dataCellStyle="Comma 5"/>
    <tableColumn id="3" xr3:uid="{7A8AE23C-5EB7-4012-BF1C-02DCE8C5219A}" name="fev-26" dataDxfId="33" dataCellStyle="Comma 5"/>
    <tableColumn id="4" xr3:uid="{EC4DAA07-5600-4C1B-A979-C4D0546E2DBE}" name="mar-26" dataDxfId="32" dataCellStyle="Comma 5"/>
    <tableColumn id="5" xr3:uid="{B2B927A7-2178-4BD4-BDC9-E2F27FFD78E1}" name="abr-26" dataDxfId="31" dataCellStyle="Comma 5"/>
    <tableColumn id="6" xr3:uid="{7053C1F5-C2BA-4EC5-91D4-B55B222A5ADB}" name="mai-26" dataDxfId="30" dataCellStyle="Comma 5"/>
    <tableColumn id="7" xr3:uid="{04195D37-8C00-470A-A59E-8E579239D9D6}" name="jun-26" dataDxfId="29" dataCellStyle="Comma 5"/>
    <tableColumn id="8" xr3:uid="{153AF791-7119-417F-A148-57FD51866A75}" name="jul-26" dataDxfId="28" dataCellStyle="Comma 5"/>
    <tableColumn id="9" xr3:uid="{C73D698C-4B31-48D0-BFBE-8B8EBDF3AC37}" name="ago-26" dataDxfId="27" dataCellStyle="Comma 5"/>
    <tableColumn id="10" xr3:uid="{CE6D14F7-BA35-4A6A-B467-91607409D25D}" name="set-26" dataDxfId="26" dataCellStyle="Comma 5"/>
    <tableColumn id="11" xr3:uid="{7C47B05B-3D54-46F5-B734-74A806F7854F}" name="out-26" dataDxfId="25" dataCellStyle="Comma 5"/>
    <tableColumn id="12" xr3:uid="{A5BF0F78-9046-48A4-8593-1D1DA7ABD7AC}" name="nov-26" dataDxfId="24" dataCellStyle="Comma 5"/>
    <tableColumn id="13" xr3:uid="{69B63527-6180-4A23-A84F-42B92AB25B55}" name="dez-26" dataDxfId="23" dataCellStyle="Comma 5"/>
    <tableColumn id="14" xr3:uid="{C59F651F-EB5A-4B77-BA2D-51B4C33E81CC}" name="Variação" dataDxfId="22" dataCellStyle="Comma 5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7.xml.rels><?xml version='1.0' encoding='UTF-8' standalone='yes'?>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8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'1.0' encoding='UTF-8' standalone='yes'?>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4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5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'1.0' encoding='UTF-8' standalone='yes'?>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32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62E1-13A4-4DA3-8266-2D0216456495}">
  <sheetPr>
    <tabColor theme="1"/>
  </sheetPr>
  <dimension ref="A1"/>
  <sheetViews>
    <sheetView showGridLines="0"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DBD7-4E66-431C-B1BE-FE1BB53A4858}">
  <dimension ref="A1:AE58"/>
  <sheetViews>
    <sheetView showGridLines="0" zoomScaleNormal="100" workbookViewId="0"/>
  </sheetViews>
  <sheetFormatPr defaultRowHeight="14.4"/>
  <cols>
    <col min="2" max="2" width="10" bestFit="1" customWidth="1"/>
    <col min="3" max="3" width="9.44140625" customWidth="1"/>
    <col min="4" max="4" width="10.6640625" bestFit="1" customWidth="1"/>
    <col min="5" max="5" width="11.33203125" style="813" bestFit="1" customWidth="1"/>
    <col min="6" max="8" width="11.33203125" style="813" customWidth="1"/>
    <col min="9" max="9" width="10.109375" bestFit="1" customWidth="1"/>
    <col min="11" max="11" width="5.77734375" bestFit="1" customWidth="1"/>
    <col min="12" max="12" width="7.6640625" bestFit="1" customWidth="1"/>
    <col min="13" max="13" width="13.6640625" style="813" customWidth="1"/>
    <col min="14" max="21" width="13.6640625" customWidth="1"/>
    <col min="22" max="22" width="23.6640625" customWidth="1"/>
    <col min="23" max="31" width="13.6640625" customWidth="1"/>
  </cols>
  <sheetData>
    <row r="1">
      <c r="A1" s="1067" t="s">
        <v>0</v>
      </c>
      <c r="B1" s="1068"/>
      <c r="C1" s="1085"/>
      <c r="D1" s="1078" t="s">
        <v>0</v>
      </c>
      <c r="E1" s="1072"/>
      <c r="F1" s="1088"/>
      <c r="G1" s="1078" t="s">
        <v>21</v>
      </c>
      <c r="H1" s="1071"/>
      <c r="I1" s="1078" t="s">
        <v>1</v>
      </c>
      <c r="J1" s="1078" t="s">
        <v>45</v>
      </c>
      <c r="K1" s="1078" t="s">
        <v>45</v>
      </c>
      <c r="L1" s="1068"/>
    </row>
    <row r="2">
      <c r="A2" s="347"/>
      <c r="B2" s="966"/>
      <c r="C2" s="1079" t="s">
        <v>1</v>
      </c>
      <c r="E2" s="1082"/>
      <c r="F2" s="1079" t="s">
        <v>1</v>
      </c>
      <c r="G2" s="930"/>
      <c r="H2" s="1073"/>
      <c r="I2" s="930" t="s">
        <v>64</v>
      </c>
      <c r="J2" s="930">
        <f>BASE!$AQ$3-1</f>
      </c>
      <c r="K2" s="930" t="s">
        <v>89</v>
      </c>
      <c r="L2" s="1069"/>
      <c r="M2"/>
      <c r="U2" s="931"/>
      <c r="V2" s="931"/>
    </row>
    <row r="3" ht="15" customHeight="1">
      <c r="A3" s="347" t="s">
        <v>59</v>
      </c>
      <c r="B3" s="1084">
        <v>0</v>
      </c>
      <c r="C3" s="347"/>
      <c r="D3" s="929" t="s">
        <v>58</v>
      </c>
      <c r="E3" s="1075">
        <v>0</v>
      </c>
      <c r="F3" s="1089"/>
      <c r="G3" s="929" t="s">
        <v>115</v>
      </c>
      <c r="H3" s="1074">
        <v>0</v>
      </c>
      <c r="I3" s="816"/>
      <c r="K3" s="929"/>
      <c r="L3" s="1075"/>
      <c r="M3"/>
      <c r="V3" s="930"/>
    </row>
    <row r="4" ht="15" customHeight="1">
      <c r="A4" s="347" t="s">
        <v>16</v>
      </c>
      <c r="B4" s="1084">
        <f>BASE!$E$3/1000</f>
      </c>
      <c r="C4" s="1086">
        <f>B4*(1+BASE!$AQ$5)</f>
      </c>
      <c r="D4" s="929" t="s">
        <v>16</v>
      </c>
      <c r="E4" s="1075">
        <f>'Faturamento FY'!G5</f>
      </c>
      <c r="F4" s="1089">
        <f>E4*(1+BASE!$AQ$4)</f>
      </c>
      <c r="G4" s="929" t="s">
        <v>16</v>
      </c>
      <c r="H4" s="1074">
        <f>'Faturamento FY'!G17</f>
      </c>
      <c r="I4" s="1080">
        <f>IF(H4="","",IFERROR(H4/E4-1,""))</f>
      </c>
      <c r="J4" s="832">
        <f>IF(H4="","",H4-E4)</f>
      </c>
      <c r="K4" s="832">
        <f>IF(H4="","",H4-E15)</f>
      </c>
      <c r="L4" s="1075"/>
      <c r="M4"/>
      <c r="W4" s="816"/>
    </row>
    <row r="5" ht="15" customHeight="1">
      <c r="A5" s="347" t="s">
        <v>33</v>
      </c>
      <c r="B5" s="1084">
        <f>BASE!$E$4/1000</f>
      </c>
      <c r="C5" s="1086">
        <f>B5*(1+BASE!$AQ$5)</f>
      </c>
      <c r="D5" s="929" t="s">
        <v>33</v>
      </c>
      <c r="E5" s="1075">
        <f>'Faturamento FY'!G6</f>
      </c>
      <c r="F5" s="1089">
        <f>E5*(1+BASE!$AQ$4)</f>
      </c>
      <c r="G5" s="929" t="s">
        <v>33</v>
      </c>
      <c r="H5" s="1074">
        <f>'Faturamento FY'!G18</f>
      </c>
      <c r="I5" s="1080">
        <f>IF(H5="","",IFERROR(H5/E5-1,""))</f>
      </c>
      <c r="J5" s="832">
        <f>IF(H5="","",H5-E5)</f>
      </c>
      <c r="K5" s="832">
        <f>IF(H5="","",H5-H4)</f>
      </c>
      <c r="L5" s="1075"/>
      <c r="M5" s="218"/>
      <c r="P5" s="497"/>
      <c r="Q5" s="497"/>
      <c r="R5" s="497"/>
      <c r="S5" s="497"/>
      <c r="T5" s="497"/>
      <c r="U5" s="497"/>
      <c r="V5" s="66"/>
      <c r="W5" s="816"/>
    </row>
    <row r="6" ht="15" customHeight="1">
      <c r="A6" s="347" t="s">
        <v>17</v>
      </c>
      <c r="B6" s="1084">
        <f>BASE!$E$5/1000</f>
      </c>
      <c r="C6" s="1086">
        <f>B6*(1+BASE!$AQ$5)</f>
      </c>
      <c r="D6" s="929" t="s">
        <v>17</v>
      </c>
      <c r="E6" s="1075">
        <f>'Faturamento FY'!G7</f>
      </c>
      <c r="F6" s="1089">
        <f>E6*(1+BASE!$AQ$4)</f>
      </c>
      <c r="G6" s="929" t="s">
        <v>17</v>
      </c>
      <c r="H6" s="1074">
        <f>'Faturamento FY'!G19</f>
      </c>
      <c r="I6" s="1080">
        <f>IF(H6="","",IFERROR(H6/E6-1,""))</f>
      </c>
      <c r="J6" s="832">
        <f>IF(H6="","",H6-E6)</f>
      </c>
      <c r="K6" s="832">
        <f>IF(H6="","",H6-H5)</f>
      </c>
      <c r="L6" s="1081"/>
      <c r="M6" s="218"/>
      <c r="P6" s="497"/>
      <c r="Q6" s="497"/>
      <c r="R6" s="497"/>
      <c r="S6" s="497"/>
      <c r="T6" s="497"/>
      <c r="U6" s="497"/>
      <c r="V6" s="66"/>
      <c r="W6" s="816"/>
    </row>
    <row r="7" ht="15" customHeight="1">
      <c r="A7" s="347" t="s">
        <v>32</v>
      </c>
      <c r="B7" s="1084">
        <f>BASE!$E$6/1000</f>
      </c>
      <c r="C7" s="1086">
        <f>B7*(1+BASE!$AQ$5)</f>
      </c>
      <c r="D7" s="929" t="s">
        <v>32</v>
      </c>
      <c r="E7" s="1075">
        <f>'Faturamento FY'!G8</f>
      </c>
      <c r="F7" s="1089">
        <f>E7*(1+BASE!$AQ$4)</f>
      </c>
      <c r="G7" s="929" t="s">
        <v>32</v>
      </c>
      <c r="H7" s="1074">
        <f>'Faturamento FY'!G20</f>
      </c>
      <c r="I7" s="1080">
        <f>IF(H7="","",IFERROR(H7/E7-1,""))</f>
      </c>
      <c r="J7" s="832">
        <f>IF(H7="","",H7-E7)</f>
      </c>
      <c r="K7" s="832">
        <f>IF(H7="","",H7-H6)</f>
      </c>
      <c r="L7" s="1075"/>
      <c r="M7" s="218"/>
      <c r="P7" s="497"/>
      <c r="Q7" s="497"/>
      <c r="R7" s="497"/>
      <c r="S7" s="497"/>
      <c r="T7" s="497"/>
      <c r="U7" s="497"/>
      <c r="V7" s="66"/>
      <c r="W7" s="816"/>
    </row>
    <row r="8" ht="15" customHeight="1">
      <c r="A8" s="347" t="s">
        <v>31</v>
      </c>
      <c r="B8" s="1084">
        <f>BASE!$E$7/1000</f>
      </c>
      <c r="C8" s="1086">
        <f>B8*(1+BASE!$AQ$5)</f>
      </c>
      <c r="D8" s="929" t="s">
        <v>31</v>
      </c>
      <c r="E8" s="1075">
        <f>'Faturamento FY'!G9</f>
      </c>
      <c r="F8" s="1089">
        <f>E8*(1+BASE!$AQ$4)</f>
      </c>
      <c r="G8" s="929" t="s">
        <v>31</v>
      </c>
      <c r="H8" s="1074">
        <f>'Faturamento FY'!G21</f>
      </c>
      <c r="I8" s="1080">
        <f>IF(H8="","",IFERROR(H8/E8-1,""))</f>
      </c>
      <c r="J8" s="832">
        <f>IF(H8="","",H8-E8)</f>
      </c>
      <c r="K8" s="832">
        <f>IF(H8="","",H8-H7)</f>
      </c>
      <c r="L8" s="1075"/>
      <c r="M8" s="218"/>
      <c r="P8" s="497"/>
      <c r="Q8" s="497"/>
      <c r="R8" s="497"/>
      <c r="S8" s="497"/>
      <c r="T8" s="497"/>
      <c r="U8" s="497"/>
      <c r="V8" s="66"/>
      <c r="W8" s="816"/>
    </row>
    <row r="9" ht="15" customHeight="1">
      <c r="A9" s="347" t="s">
        <v>18</v>
      </c>
      <c r="B9" s="1084">
        <f>BASE!$E$8/1000</f>
      </c>
      <c r="C9" s="1086">
        <f>B9*(1+BASE!$AQ$5)</f>
      </c>
      <c r="D9" s="929" t="s">
        <v>18</v>
      </c>
      <c r="E9" s="1075">
        <f>'Faturamento FY'!G10</f>
      </c>
      <c r="F9" s="1089">
        <f>E9*(1+BASE!$AQ$4)</f>
      </c>
      <c r="G9" s="929" t="s">
        <v>18</v>
      </c>
      <c r="H9" s="1074">
        <f>'Faturamento FY'!G22</f>
      </c>
      <c r="I9" s="1080">
        <f>IF(H9="","",IFERROR(H9/E9-1,""))</f>
      </c>
      <c r="J9" s="832">
        <f>IF(H9="","",H9-E9)</f>
      </c>
      <c r="K9" s="832">
        <f>IF(H9="","",H9-H8)</f>
      </c>
      <c r="L9" s="1075"/>
      <c r="M9" s="218"/>
      <c r="P9" s="497"/>
      <c r="Q9" s="497"/>
      <c r="R9" s="497"/>
      <c r="S9" s="497"/>
      <c r="T9" s="497"/>
      <c r="U9" s="497"/>
      <c r="V9" s="66"/>
      <c r="W9" s="816"/>
    </row>
    <row r="10" ht="15" customHeight="1">
      <c r="A10" s="347" t="s">
        <v>19</v>
      </c>
      <c r="B10" s="1084">
        <f>BASE!$E$9/1000</f>
      </c>
      <c r="C10" s="1086">
        <f>B10*(1+BASE!$AQ$5)</f>
      </c>
      <c r="D10" s="929" t="s">
        <v>19</v>
      </c>
      <c r="E10" s="1075">
        <f>'Faturamento FY'!G11</f>
      </c>
      <c r="F10" s="1089">
        <f>E10*(1+BASE!$AQ$4)</f>
      </c>
      <c r="G10" s="929" t="s">
        <v>19</v>
      </c>
      <c r="H10" s="1074">
        <f>'Faturamento FY'!G23</f>
      </c>
      <c r="I10" s="1080">
        <f>IF(H10="","",IFERROR(H10/E10-1,""))</f>
      </c>
      <c r="J10" s="832">
        <f>IF(H10="","",H10-E10)</f>
      </c>
      <c r="K10" s="832">
        <f>IF(H10="","",H10-H9)</f>
      </c>
      <c r="L10" s="1075"/>
      <c r="M10" s="218"/>
      <c r="P10" s="497"/>
      <c r="Q10" s="497"/>
      <c r="R10" s="497"/>
      <c r="S10" s="497"/>
      <c r="T10" s="497"/>
      <c r="U10" s="497"/>
      <c r="V10" s="66"/>
      <c r="W10" s="816"/>
    </row>
    <row r="11" ht="15" customHeight="1">
      <c r="A11" s="347" t="s">
        <v>30</v>
      </c>
      <c r="B11" s="1084">
        <f>BASE!$E$10/1000</f>
      </c>
      <c r="C11" s="1086">
        <f>B11*(1+BASE!$AQ$5)</f>
      </c>
      <c r="D11" s="929" t="s">
        <v>30</v>
      </c>
      <c r="E11" s="1075">
        <f>'Faturamento FY'!G12</f>
      </c>
      <c r="F11" s="1089">
        <f>E11*(1+BASE!$AQ$4)</f>
      </c>
      <c r="G11" s="929" t="s">
        <v>30</v>
      </c>
      <c r="H11" s="1074">
        <f>'Faturamento FY'!G24</f>
      </c>
      <c r="I11" s="1080">
        <f>IF(H11="","",IFERROR(H11/E11-1,""))</f>
      </c>
      <c r="J11" s="832">
        <f>IF(H11="","",H11-E11)</f>
      </c>
      <c r="K11" s="832">
        <f>IF(H11="","",H11-H10)</f>
      </c>
      <c r="L11" s="1075"/>
      <c r="M11" s="218"/>
      <c r="P11" s="497"/>
      <c r="Q11" s="497"/>
      <c r="R11" s="497"/>
      <c r="S11" s="497"/>
      <c r="T11" s="497"/>
      <c r="U11" s="497"/>
      <c r="V11" s="66"/>
      <c r="W11" s="816"/>
    </row>
    <row r="12" ht="15" customHeight="1">
      <c r="A12" s="347" t="s">
        <v>29</v>
      </c>
      <c r="B12" s="1084">
        <f>BASE!$E$11/1000</f>
      </c>
      <c r="C12" s="1086">
        <f>B12*(1+BASE!$AQ$5)</f>
      </c>
      <c r="D12" s="929" t="s">
        <v>29</v>
      </c>
      <c r="E12" s="1075">
        <f>'Faturamento FY'!G13</f>
      </c>
      <c r="F12" s="1089">
        <f>E12*(1+BASE!$AQ$4)</f>
      </c>
      <c r="G12" s="929" t="s">
        <v>29</v>
      </c>
      <c r="H12" s="1074">
        <f>'Faturamento FY'!G25</f>
      </c>
      <c r="I12" s="1080">
        <f>IF(H12="","",IFERROR(H12/E12-1,""))</f>
      </c>
      <c r="J12" s="832">
        <f>IF(H12="","",H12-E12)</f>
      </c>
      <c r="K12" s="832">
        <f>IF(H12="","",H12-H11)</f>
      </c>
      <c r="L12" s="1082"/>
      <c r="M12" s="218"/>
      <c r="P12" s="497"/>
      <c r="Q12" s="497"/>
      <c r="R12" s="497"/>
      <c r="S12" s="497"/>
      <c r="T12" s="497"/>
      <c r="U12" s="497"/>
      <c r="V12" s="66"/>
      <c r="W12" s="816"/>
    </row>
    <row r="13" ht="15" customHeight="1">
      <c r="A13" s="347" t="s">
        <v>28</v>
      </c>
      <c r="B13" s="1084">
        <f>BASE!$E$12/1000</f>
      </c>
      <c r="C13" s="1086">
        <f>B13*(1+BASE!$AQ$5)</f>
      </c>
      <c r="D13" s="929" t="s">
        <v>28</v>
      </c>
      <c r="E13" s="1075">
        <f>'Faturamento FY'!G14</f>
      </c>
      <c r="F13" s="1089">
        <f>E13*(1+BASE!$AQ$4)</f>
      </c>
      <c r="G13" s="929" t="s">
        <v>28</v>
      </c>
      <c r="H13" s="1074">
        <f>'Faturamento FY'!G26</f>
      </c>
      <c r="I13" s="1080">
        <f>IF(H13="","",IFERROR(H13/E13-1,""))</f>
      </c>
      <c r="J13" s="832">
        <f>IF(H13="","",H13-E13)</f>
      </c>
      <c r="K13" s="832">
        <f>IF(H13="","",H13-H12)</f>
      </c>
      <c r="L13" s="1082"/>
      <c r="M13" s="218"/>
      <c r="P13" s="497"/>
      <c r="Q13" s="497"/>
      <c r="R13" s="497"/>
      <c r="S13" s="497"/>
      <c r="T13" s="497"/>
      <c r="U13" s="497"/>
      <c r="V13" s="66"/>
      <c r="W13" s="816"/>
    </row>
    <row r="14" ht="15" customHeight="1">
      <c r="A14" s="347" t="s">
        <v>20</v>
      </c>
      <c r="B14" s="1084">
        <f>BASE!$E$13/1000</f>
      </c>
      <c r="C14" s="1086">
        <f>B14*(1+BASE!$AQ$5)</f>
      </c>
      <c r="D14" s="929" t="s">
        <v>20</v>
      </c>
      <c r="E14" s="1075">
        <f>'Faturamento FY'!G15</f>
      </c>
      <c r="F14" s="1089">
        <f>E14*(1+BASE!$AQ$4)</f>
      </c>
      <c r="G14" s="929" t="s">
        <v>20</v>
      </c>
      <c r="H14" s="1074">
        <f>'Faturamento FY'!G27</f>
      </c>
      <c r="I14" s="1080">
        <f>IF(H14="","",IFERROR(H14/E14-1,""))</f>
      </c>
      <c r="J14" s="832">
        <f>IF(H14="","",H14-E14)</f>
      </c>
      <c r="K14" s="832">
        <f>IF(H14="","",H14-H13)</f>
      </c>
      <c r="L14" s="1082"/>
      <c r="M14" s="218"/>
      <c r="P14" s="497"/>
      <c r="Q14" s="497"/>
      <c r="R14" s="497"/>
      <c r="S14" s="497"/>
      <c r="T14" s="497"/>
      <c r="U14" s="497"/>
      <c r="V14" s="66"/>
      <c r="W14" s="816"/>
    </row>
    <row r="15" ht="15" customHeight="1">
      <c r="A15" s="347" t="s">
        <v>27</v>
      </c>
      <c r="B15" s="1084">
        <f>BASE!$E$14/1000</f>
      </c>
      <c r="C15" s="1086">
        <f>B15*(1+BASE!$AQ$5)</f>
      </c>
      <c r="D15" s="929" t="s">
        <v>27</v>
      </c>
      <c r="E15" s="1075">
        <f>'Faturamento FY'!G16</f>
      </c>
      <c r="F15" s="1089">
        <f>E15*(1+BASE!$AQ$4)</f>
      </c>
      <c r="G15" s="929" t="s">
        <v>27</v>
      </c>
      <c r="H15" s="1074">
        <f>'Faturamento FY'!G28</f>
      </c>
      <c r="I15" s="1080">
        <f>IF(H15="","",IFERROR(H15/E15-1,""))</f>
      </c>
      <c r="J15" s="832">
        <f>IF(H15="","",H15-E15)</f>
      </c>
      <c r="K15" s="832">
        <f>IF(H15="","",H15-H14)</f>
      </c>
      <c r="L15" s="1082"/>
      <c r="M15" s="218"/>
      <c r="P15" s="497"/>
      <c r="Q15" s="497"/>
      <c r="R15" s="497"/>
      <c r="S15" s="497"/>
      <c r="T15" s="497"/>
      <c r="U15" s="497"/>
      <c r="V15" s="66"/>
      <c r="W15" s="816"/>
    </row>
    <row r="16" ht="15" customHeight="1">
      <c r="A16" s="347" t="s">
        <v>2</v>
      </c>
      <c r="B16" s="1084">
        <f>SUM(B3:B15)</f>
      </c>
      <c r="C16" s="1086"/>
      <c r="D16" s="929" t="s">
        <v>71</v>
      </c>
      <c r="E16" s="1075">
        <f>SUM(E4:E15)</f>
      </c>
      <c r="F16" s="1089"/>
      <c r="G16" s="929" t="s">
        <v>71</v>
      </c>
      <c r="H16" s="1074">
        <f>SUM(H4:H15)</f>
      </c>
      <c r="I16" s="213"/>
      <c r="L16" s="1082"/>
      <c r="M16" s="218"/>
      <c r="P16" s="497"/>
      <c r="Q16" s="497"/>
      <c r="R16" s="497"/>
      <c r="S16" s="497"/>
      <c r="T16" s="497"/>
      <c r="U16" s="497"/>
      <c r="V16" s="66"/>
      <c r="W16" s="816"/>
    </row>
    <row r="17" ht="15" customHeight="1" thickBot="1">
      <c r="A17" s="701" t="s">
        <v>54</v>
      </c>
      <c r="B17" s="1070">
        <f>BASE!$AQ$6/1000</f>
      </c>
      <c r="C17" s="701"/>
      <c r="D17" s="1087" t="s">
        <v>54</v>
      </c>
      <c r="E17" s="1077">
        <f>BASE!$AQ$7/1000</f>
      </c>
      <c r="F17" s="1090"/>
      <c r="G17" s="1087" t="s">
        <v>54</v>
      </c>
      <c r="H17" s="1076">
        <f>BASE!$AQ$8/1000</f>
      </c>
      <c r="I17" s="1083"/>
      <c r="J17" s="542"/>
      <c r="K17" s="542"/>
      <c r="L17" s="1070"/>
      <c r="N17" s="213"/>
      <c r="V17" s="816"/>
      <c r="W17" s="816"/>
    </row>
    <row r="18" ht="15" customHeight="1">
      <c r="E18" s="928"/>
      <c r="F18" s="928"/>
      <c r="G18"/>
      <c r="H18" s="928"/>
      <c r="I18" s="816"/>
      <c r="L18" s="928"/>
      <c r="M18" s="928"/>
      <c r="N18" s="213"/>
      <c r="S18" s="816"/>
      <c r="T18" s="816"/>
      <c r="V18" s="816"/>
      <c r="W18" s="816"/>
    </row>
    <row r="19" ht="15" customHeight="1">
      <c r="E19" s="813">
        <f>E17-E16</f>
      </c>
      <c r="G19"/>
      <c r="H19" s="813">
        <f>H17-H16</f>
      </c>
      <c r="I19" s="816"/>
      <c r="K19" s="929"/>
      <c r="L19" s="928"/>
      <c r="M19" s="816"/>
      <c r="N19" s="213"/>
      <c r="S19" s="816"/>
      <c r="V19" s="816"/>
      <c r="W19" s="816"/>
    </row>
    <row r="20" ht="15" customHeight="1">
      <c r="I20" s="816"/>
      <c r="K20" s="929"/>
      <c r="L20" s="928"/>
      <c r="M20" s="816"/>
      <c r="N20" s="213"/>
      <c r="S20" s="816"/>
      <c r="V20" s="816"/>
      <c r="W20" s="816"/>
    </row>
    <row r="21" ht="15" customHeight="1">
      <c r="E21" s="928"/>
      <c r="F21" s="928"/>
      <c r="G21" s="928"/>
      <c r="H21" s="928"/>
      <c r="I21" s="816"/>
      <c r="K21" s="929"/>
      <c r="L21" s="928"/>
      <c r="M21" s="816"/>
      <c r="N21" s="213"/>
      <c r="S21" s="816"/>
      <c r="V21" s="816"/>
      <c r="W21" s="816"/>
    </row>
    <row r="22" ht="15" customHeight="1">
      <c r="D22" s="929"/>
      <c r="E22" s="928"/>
      <c r="F22" s="928"/>
      <c r="G22" s="928"/>
      <c r="H22" s="928"/>
      <c r="I22" s="816"/>
      <c r="K22" s="929"/>
      <c r="L22" s="928"/>
      <c r="M22" s="816"/>
      <c r="N22" s="213"/>
      <c r="S22" s="816"/>
      <c r="V22" s="816"/>
      <c r="W22" s="816"/>
    </row>
    <row r="23" ht="15" customHeight="1">
      <c r="D23" s="929"/>
      <c r="E23" s="928"/>
      <c r="F23" s="928"/>
      <c r="G23" s="928"/>
      <c r="H23" s="928"/>
      <c r="I23" s="816"/>
      <c r="K23" s="929"/>
      <c r="L23" s="928"/>
      <c r="M23" s="816"/>
      <c r="N23" s="213"/>
      <c r="S23" s="816"/>
      <c r="V23" s="816"/>
      <c r="W23" s="816"/>
    </row>
    <row r="24">
      <c r="D24" s="929"/>
      <c r="E24" s="928"/>
      <c r="F24" s="928"/>
      <c r="G24" s="928"/>
      <c r="H24" s="928"/>
      <c r="I24" s="816"/>
      <c r="K24" s="929"/>
      <c r="L24" s="1004"/>
      <c r="M24" s="816"/>
      <c r="N24" s="213"/>
      <c r="S24" s="816"/>
      <c r="V24" s="816"/>
      <c r="W24" s="816"/>
    </row>
    <row r="25">
      <c r="D25" s="929"/>
      <c r="E25" s="928"/>
      <c r="F25" s="928"/>
      <c r="G25" s="928"/>
      <c r="H25" s="928"/>
      <c r="I25" s="816"/>
      <c r="K25" s="929"/>
      <c r="L25" s="928"/>
      <c r="M25" s="928"/>
      <c r="N25" s="213"/>
      <c r="S25" s="816"/>
      <c r="V25" s="816"/>
      <c r="W25" s="816"/>
    </row>
    <row r="26">
      <c r="D26" s="929"/>
      <c r="E26" s="928"/>
      <c r="F26" s="928"/>
      <c r="G26" s="928"/>
      <c r="H26" s="928"/>
      <c r="L26" s="815"/>
      <c r="N26" s="213"/>
    </row>
    <row r="27" ht="25.8">
      <c r="D27" s="929"/>
      <c r="E27" s="1004"/>
      <c r="F27" s="1004"/>
      <c r="G27" s="1004"/>
      <c r="H27" s="1004"/>
      <c r="N27" s="1145"/>
      <c r="O27" s="1145"/>
      <c r="P27" s="1145"/>
      <c r="Q27" s="1145"/>
      <c r="R27" s="1145"/>
      <c r="S27" s="1145"/>
      <c r="T27" s="1145"/>
      <c r="U27" s="1145"/>
      <c r="V27" s="1145"/>
      <c r="W27" s="1145"/>
      <c r="X27" s="1145"/>
      <c r="Y27" s="1145"/>
      <c r="Z27" s="1145"/>
      <c r="AA27" s="1145"/>
      <c r="AB27" s="1145"/>
      <c r="AC27" s="1145"/>
      <c r="AD27" s="1145"/>
    </row>
    <row r="28">
      <c r="D28" s="929"/>
      <c r="E28" s="928"/>
      <c r="F28" s="928"/>
      <c r="G28" s="928"/>
      <c r="H28" s="928"/>
    </row>
    <row r="29">
      <c r="E29" s="815"/>
      <c r="F29" s="815"/>
      <c r="G29" s="815"/>
      <c r="H29" s="815"/>
    </row>
    <row r="37" ht="15" customHeight="1"/>
    <row r="42" ht="21">
      <c r="O42" s="817"/>
    </row>
    <row r="43" ht="25.8">
      <c r="L43" s="813"/>
      <c r="N43" s="999"/>
      <c r="O43" s="999"/>
      <c r="P43" s="999"/>
      <c r="Q43" s="999"/>
      <c r="R43" s="999"/>
      <c r="S43" s="999"/>
      <c r="T43" s="999"/>
      <c r="U43" s="999"/>
      <c r="W43" s="999"/>
      <c r="X43" s="999"/>
      <c r="Y43" s="999"/>
      <c r="Z43" s="999"/>
      <c r="AA43" s="999"/>
      <c r="AB43" s="999"/>
      <c r="AC43" s="999"/>
      <c r="AD43" s="999"/>
      <c r="AE43" s="975"/>
    </row>
    <row r="58">
      <c r="M58"/>
    </row>
  </sheetData>
  <mergeCells count="2">
    <mergeCell ref="N27:V27"/>
    <mergeCell ref="W27:AD27"/>
  </mergeCells>
  <phoneticPr fontId="97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4DC5-5083-478F-B31C-A7FBBC33DE79}">
  <dimension ref="B1:S93"/>
  <sheetViews>
    <sheetView showGridLines="0" zoomScale="85" zoomScaleNormal="85" workbookViewId="0" tabSelected="1"/>
  </sheetViews>
  <sheetFormatPr defaultColWidth="9.109375" defaultRowHeight="17.399999999999999"/>
  <cols>
    <col min="1" max="1" width="2.6640625" style="110" customWidth="1"/>
    <col min="2" max="2" width="24.33203125" style="110" bestFit="1" customWidth="1"/>
    <col min="3" max="5" width="10.6640625" style="110" customWidth="1" collapsed="1"/>
    <col min="6" max="6" width="10.6640625" style="110" customWidth="1"/>
    <col min="7" max="9" width="10.6640625" style="110" customWidth="1" collapsed="1"/>
    <col min="10" max="10" width="10.6640625" style="110" customWidth="1"/>
    <col min="11" max="11" width="10.6640625" style="110" customWidth="1" collapsed="1"/>
    <col min="12" max="14" width="10.6640625" style="110" customWidth="1"/>
    <col min="15" max="15" width="10" style="110" bestFit="1" customWidth="1"/>
    <col min="16" max="18" width="8.88671875" style="110" bestFit="1" customWidth="1"/>
    <col min="19" max="16384" width="9.109375" style="110"/>
  </cols>
  <sheetData>
    <row r="1" ht="18" thickBot="1">
      <c r="B1" s="1050" t="s">
        <v>51</v>
      </c>
      <c r="C1" s="1057">
        <f>BASE!$A$3</f>
      </c>
      <c r="D1" s="1057">
        <f>BASE!$A$4</f>
      </c>
      <c r="E1" s="1057">
        <f>BASE!$A$5</f>
      </c>
      <c r="F1" s="1057">
        <f>BASE!$A$6</f>
      </c>
      <c r="G1" s="1057">
        <f>BASE!$A$7</f>
      </c>
      <c r="H1" s="1057">
        <f>BASE!$A$8</f>
      </c>
      <c r="I1" s="1057">
        <f>BASE!$A$9</f>
      </c>
      <c r="J1" s="1057">
        <f>BASE!$A$10</f>
      </c>
      <c r="K1" s="1057">
        <f>BASE!$A$11</f>
      </c>
      <c r="L1" s="1057">
        <f>BASE!$A$12</f>
      </c>
      <c r="M1" s="1057">
        <f>BASE!$A$13</f>
      </c>
      <c r="N1" s="1057">
        <f>BASE!$A$14</f>
      </c>
      <c r="P1" s="1054" t="s">
        <v>40</v>
      </c>
      <c r="Q1" s="118" t="s">
        <v>41</v>
      </c>
      <c r="R1" s="118" t="s">
        <v>42</v>
      </c>
      <c r="S1" s="118" t="s">
        <v>43</v>
      </c>
    </row>
    <row r="2">
      <c r="B2" s="97" t="s">
        <v>67</v>
      </c>
      <c r="C2" s="1049">
        <f>IF(BASE!$B$3=1,BASE!$C$3/1000,"")</f>
      </c>
      <c r="D2" s="1049">
        <f>IF(BASE!$B$4=1,BASE!$C$4/1000,"")</f>
      </c>
      <c r="E2" s="1049">
        <f>IF(BASE!$B$5=1,BASE!$C$5/1000,"")</f>
      </c>
      <c r="F2" s="1049">
        <f>IF(BASE!$B$6=1,BASE!$C$6/1000,"")</f>
      </c>
      <c r="G2" s="1049">
        <f>IF(BASE!$B$7=1,BASE!$C$7/1000,"")</f>
      </c>
      <c r="H2" s="1049">
        <f>IF(BASE!$B$8=1,BASE!$C$8/1000,"")</f>
      </c>
      <c r="I2" s="1049">
        <f>IF(BASE!$B$9=1,BASE!$C$9/1000,"")</f>
      </c>
      <c r="J2" s="1049">
        <f>IF(BASE!$B$10=1,BASE!$C$10/1000,"")</f>
      </c>
      <c r="K2" s="1049">
        <f>IF(BASE!$B$11=1,BASE!$C$11/1000,"")</f>
      </c>
      <c r="L2" s="1049">
        <f>IF(BASE!$B$12=1,BASE!$C$12/1000,"")</f>
      </c>
      <c r="M2" s="1049">
        <f>IF(BASE!$B$13=1,BASE!$C$13/1000,"")</f>
      </c>
      <c r="N2" s="1049">
        <f>IF(BASE!$B$14=1,BASE!$C$14/1000,"")</f>
      </c>
      <c r="P2" s="1049">
        <f>SUM(C2:E2)</f>
      </c>
      <c r="Q2" s="1049">
        <f>SUM(F2:H2)</f>
      </c>
      <c r="R2" s="1049">
        <f>SUM(I2:K2)</f>
      </c>
      <c r="S2" s="1049">
        <f>SUM(L2:N2)</f>
      </c>
    </row>
    <row r="3">
      <c r="B3" s="89" t="s">
        <v>69</v>
      </c>
      <c r="C3" s="127">
        <f>IF(BASE!$B$3=1,-BASE!$D$3/1000,"")</f>
      </c>
      <c r="D3" s="127">
        <f>IF(BASE!$B$4=1,-BASE!$D$4/1000,"")</f>
      </c>
      <c r="E3" s="127">
        <f>IF(BASE!$B$5=1,-BASE!$D$5/1000,"")</f>
      </c>
      <c r="F3" s="127">
        <f>IF(BASE!$B$6=1,-BASE!$D$6/1000,"")</f>
      </c>
      <c r="G3" s="127">
        <f>IF(BASE!$B$7=1,-BASE!$D$7/1000,"")</f>
      </c>
      <c r="H3" s="127">
        <f>IF(BASE!$B$8=1,-BASE!$D$8/1000,"")</f>
      </c>
      <c r="I3" s="127">
        <f>IF(BASE!$B$9=1,-BASE!$D$9/1000,"")</f>
      </c>
      <c r="J3" s="127">
        <f>IF(BASE!$B$10=1,-BASE!$D$10/1000,"")</f>
      </c>
      <c r="K3" s="127">
        <f>IF(BASE!$B$11=1,-BASE!$D$11/1000,"")</f>
      </c>
      <c r="L3" s="127">
        <f>IF(BASE!$B$12=1,-BASE!$D$12/1000,"")</f>
      </c>
      <c r="M3" s="127">
        <f>IF(BASE!$B$13=1,-BASE!$D$13/1000,"")</f>
      </c>
      <c r="N3" s="127">
        <f>IF(BASE!$B$14=1,-BASE!$D$14/1000,"")</f>
      </c>
      <c r="P3" s="1055">
        <f>SUM(C3:E3)</f>
      </c>
      <c r="Q3" s="127">
        <f>SUM(F3:H3)</f>
      </c>
      <c r="R3" s="127">
        <f>SUM(I3:K3)</f>
      </c>
      <c r="S3" s="127">
        <f>SUM(L3:N3)</f>
      </c>
    </row>
    <row r="4" ht="18" thickBot="1">
      <c r="B4" s="79" t="s">
        <v>68</v>
      </c>
      <c r="C4" s="123">
        <f>IF(BASE!$B$3=1,SUM(C2,C3),"")</f>
      </c>
      <c r="D4" s="123">
        <f>IF(BASE!$B$4=1,SUM(D2,D3),"")</f>
      </c>
      <c r="E4" s="123">
        <f>IF(BASE!$B$5=1,SUM(E2,E3),"")</f>
      </c>
      <c r="F4" s="123">
        <f>IF(BASE!$B$6=1,SUM(F2,F3),"")</f>
      </c>
      <c r="G4" s="123">
        <f>IF(BASE!$B$7=1,SUM(G2,G3),"")</f>
      </c>
      <c r="H4" s="123">
        <f>IF(BASE!$B$8=1,SUM(H2,H3),"")</f>
      </c>
      <c r="I4" s="123">
        <f>IF(BASE!$B$9=1,SUM(I2,I3),"")</f>
      </c>
      <c r="J4" s="123">
        <f>IF(BASE!$B$10=1,SUM(J2,J3),"")</f>
      </c>
      <c r="K4" s="123">
        <f>IF(BASE!$B$11=1,SUM(K2,K3),"")</f>
      </c>
      <c r="L4" s="123">
        <f>IF(BASE!$B$12=1,SUM(L2,L3),"")</f>
      </c>
      <c r="M4" s="123">
        <f>IF(BASE!$B$13=1,SUM(M2,M3),"")</f>
      </c>
      <c r="N4" s="123">
        <f>IF(BASE!$B$14=1,SUM(N2,N3),"")</f>
      </c>
      <c r="P4" s="1056">
        <f>SUM(C4:E4)</f>
      </c>
      <c r="Q4" s="123">
        <f>SUM(F4:H4)</f>
      </c>
      <c r="R4" s="123">
        <f>SUM(I4:K4)</f>
      </c>
      <c r="S4" s="123">
        <f>SUM(L4:N4)</f>
      </c>
    </row>
    <row r="5" ht="18" thickBot="1">
      <c r="O5" s="1046"/>
      <c r="P5" s="1047"/>
    </row>
    <row r="6" ht="18" thickBot="1">
      <c r="B6" s="1050" t="s">
        <v>51</v>
      </c>
      <c r="C6" s="1057">
        <f>BASE!$A$15</f>
      </c>
      <c r="D6" s="1057">
        <f>BASE!$A$16</f>
      </c>
      <c r="E6" s="1057">
        <f>BASE!$A$17</f>
      </c>
      <c r="F6" s="1057">
        <f>BASE!$A$18</f>
      </c>
      <c r="G6" s="1057">
        <f>BASE!$A$19</f>
      </c>
      <c r="H6" s="1057">
        <f>BASE!$A$20</f>
      </c>
      <c r="I6" s="1057">
        <f>BASE!$A$21</f>
      </c>
      <c r="J6" s="1057">
        <f>BASE!$A$22</f>
      </c>
      <c r="K6" s="1057">
        <f>BASE!$A$23</f>
      </c>
      <c r="L6" s="1057">
        <f>BASE!$A$24</f>
      </c>
      <c r="M6" s="1057">
        <f>BASE!$A$25</f>
      </c>
      <c r="N6" s="1057">
        <f>BASE!$A$26</f>
      </c>
      <c r="P6" s="1054" t="s">
        <v>60</v>
      </c>
      <c r="Q6" s="118" t="s">
        <v>61</v>
      </c>
      <c r="R6" s="118" t="s">
        <v>62</v>
      </c>
      <c r="S6" s="118" t="s">
        <v>63</v>
      </c>
    </row>
    <row r="7">
      <c r="B7" s="97" t="s">
        <v>65</v>
      </c>
      <c r="C7" s="1049">
        <f>IF(BASE!$B$15=1,BASE!$C$15/1000,"")</f>
      </c>
      <c r="D7" s="1049">
        <f>IF(BASE!$B$16=1,BASE!$C$16/1000,"")</f>
      </c>
      <c r="E7" s="1049">
        <f>IF(BASE!$B$17=1,BASE!$C$17/1000,"")</f>
      </c>
      <c r="F7" s="1049">
        <f>IF(BASE!$B$18=1,BASE!$C$18/1000,"")</f>
      </c>
      <c r="G7" s="1049">
        <f>IF(BASE!$B$19=1,BASE!$C$19/1000,"")</f>
      </c>
      <c r="H7" s="1049">
        <f>IF(BASE!$B$20=1,BASE!$C$20/1000,"")</f>
      </c>
      <c r="I7" s="1049">
        <f>IF(BASE!$B$21=1,BASE!$C$21/1000,"")</f>
      </c>
      <c r="J7" s="1049">
        <f>IF(BASE!$B$22=1,BASE!$C$22/1000,"")</f>
      </c>
      <c r="K7" s="1049">
        <f>IF(BASE!$B$23=1,BASE!$C$23/1000,"")</f>
      </c>
      <c r="L7" s="1049">
        <f>IF(BASE!$B$24=1,BASE!$C$24/1000,"")</f>
      </c>
      <c r="M7" s="1049">
        <f>IF(BASE!$B$25=1,BASE!$C$25/1000,"")</f>
      </c>
      <c r="N7" s="1049">
        <f>IF(BASE!$B$26=1,BASE!$C$26/1000,"")</f>
      </c>
      <c r="P7" s="1049">
        <f>SUM(C7:E7)</f>
      </c>
      <c r="Q7" s="1049">
        <f>SUM(F7:H7)</f>
      </c>
      <c r="R7" s="1049">
        <f>SUM(I7:K7)</f>
      </c>
      <c r="S7" s="1049">
        <f>SUM(L7:N7)</f>
      </c>
    </row>
    <row r="8">
      <c r="B8" s="89" t="s">
        <v>66</v>
      </c>
      <c r="C8" s="127">
        <f>IF(BASE!$B$15=1,-BASE!$D$15/1000,"")</f>
      </c>
      <c r="D8" s="127">
        <f>IF(BASE!$B$16=1,-BASE!$D$16/1000,"")</f>
      </c>
      <c r="E8" s="127">
        <f>IF(BASE!$B$17=1,-BASE!$D$17/1000,"")</f>
      </c>
      <c r="F8" s="127">
        <f>IF(BASE!$B$18=1,-BASE!$D$18/1000,"")</f>
      </c>
      <c r="G8" s="127">
        <f>IF(BASE!$B$19=1,-BASE!$D$19/1000,"")</f>
      </c>
      <c r="H8" s="127">
        <f>IF(BASE!$B$20=1,-BASE!$D$20/1000,"")</f>
      </c>
      <c r="I8" s="127">
        <f>IF(BASE!$B$21=1,-BASE!$D$21/1000,"")</f>
      </c>
      <c r="J8" s="1058">
        <f>IF(BASE!$B$22=1,-BASE!$D$22/1000,"")</f>
      </c>
      <c r="K8" s="127">
        <f>IF(BASE!$B$23=1,-BASE!$D$23/1000,"")</f>
      </c>
      <c r="L8" s="127">
        <f>IF(BASE!$B$24=1,-BASE!$D$24/1000,"")</f>
      </c>
      <c r="M8" s="127">
        <f>IF(BASE!$B$25=1,-BASE!$D$25/1000,"")</f>
      </c>
      <c r="N8" s="127">
        <f>IF(BASE!$B$26=1,-BASE!$D$26/1000,"")</f>
      </c>
      <c r="P8" s="1055">
        <f>SUM(C8:E8)</f>
      </c>
      <c r="Q8" s="127">
        <f>SUM(F8:H8)</f>
      </c>
      <c r="R8" s="127">
        <f>SUM(I8:K8)</f>
      </c>
      <c r="S8" s="127">
        <f>SUM(L8:N8)</f>
      </c>
    </row>
    <row r="9" ht="18" thickBot="1">
      <c r="B9" s="79" t="s">
        <v>70</v>
      </c>
      <c r="C9" s="123">
        <f>IF(BASE!$B$15=1,SUM(C7,C8),"")</f>
      </c>
      <c r="D9" s="123">
        <f>IF(BASE!$B$16=1,SUM(D7,D8),"")</f>
      </c>
      <c r="E9" s="123">
        <f>IF(BASE!$B$17=1,SUM(E7,E8),"")</f>
      </c>
      <c r="F9" s="123">
        <f>IF(BASE!$B$18=1,SUM(F7,F8),"")</f>
      </c>
      <c r="G9" s="123">
        <f>IF(BASE!$B$19=1,SUM(G7,G8),"")</f>
      </c>
      <c r="H9" s="123">
        <f>IF(BASE!$B$20=1,SUM(H7,H8),"")</f>
      </c>
      <c r="I9" s="123">
        <f>IF(BASE!$B$21=1,SUM(I7,I8),"")</f>
      </c>
      <c r="J9" s="123">
        <f>IF(BASE!$B$22=1,SUM(J7,J8),"")</f>
      </c>
      <c r="K9" s="123">
        <f>IF(BASE!$B$23=1,SUM(K7,K8),"")</f>
      </c>
      <c r="L9" s="123">
        <f>IF(BASE!$B$24=1,SUM(L7,L8),"")</f>
      </c>
      <c r="M9" s="123">
        <f>IF(BASE!$B$25=1,SUM(M7,M8),"")</f>
      </c>
      <c r="N9" s="123">
        <f>IF(BASE!$B$26=1,SUM(N7,N8),"")</f>
      </c>
      <c r="P9" s="1056">
        <f>SUM(C9:E9)</f>
      </c>
      <c r="Q9" s="123">
        <f>SUM(F9:H9)</f>
      </c>
      <c r="R9" s="123">
        <f>SUM(I9:K9)</f>
      </c>
      <c r="S9" s="123">
        <f>SUM(L9:N9)</f>
      </c>
    </row>
    <row r="10" ht="18" thickBot="1">
      <c r="O10" s="1046"/>
      <c r="P10" s="1047"/>
    </row>
    <row r="11" ht="18" thickBot="1">
      <c r="B11" s="1050" t="s">
        <v>51</v>
      </c>
      <c r="C11" s="1057">
        <f>BASE!$A$27</f>
      </c>
      <c r="D11" s="1057">
        <f>BASE!$A$28</f>
      </c>
      <c r="E11" s="1057">
        <f>BASE!$A$29</f>
      </c>
      <c r="F11" s="1057">
        <f>BASE!$A$30</f>
      </c>
      <c r="G11" s="1057">
        <f>BASE!$A$31</f>
      </c>
      <c r="H11" s="1057">
        <f>BASE!$A$32</f>
      </c>
      <c r="I11" s="1057">
        <f>BASE!$A$33</f>
      </c>
      <c r="J11" s="1057">
        <f>BASE!$A$34</f>
      </c>
      <c r="K11" s="1057">
        <f>BASE!$A$35</f>
      </c>
      <c r="L11" s="1057">
        <f>BASE!$A$36</f>
      </c>
      <c r="M11" s="1057">
        <f>BASE!$A$37</f>
      </c>
      <c r="N11" s="1057">
        <f>BASE!$A$38</f>
      </c>
      <c r="P11" s="1054" t="s">
        <v>93</v>
      </c>
      <c r="Q11" s="118" t="s">
        <v>94</v>
      </c>
      <c r="R11" s="118" t="s">
        <v>95</v>
      </c>
      <c r="S11" s="118" t="s">
        <v>96</v>
      </c>
    </row>
    <row r="12">
      <c r="B12" s="97" t="s">
        <v>90</v>
      </c>
      <c r="C12" s="1049">
        <f>IF(BASE!$B$27=1,BASE!$C$27/1000,"")</f>
      </c>
      <c r="D12" s="1049">
        <f>IF(BASE!$B$28=1,BASE!$C$28/1000,"")</f>
      </c>
      <c r="E12" s="1049">
        <f>IF(BASE!$B$29=1,BASE!$C$29/1000,"")</f>
      </c>
      <c r="F12" s="1049">
        <f>IF(BASE!$B$30=1,BASE!$C$30/1000,"")</f>
      </c>
      <c r="G12" s="1049">
        <f>IF(BASE!$B$31=1,BASE!$C$31/1000,"")</f>
      </c>
      <c r="H12" s="1049">
        <f>IF(BASE!$B$32=1,BASE!$C$32/1000,"")</f>
      </c>
      <c r="I12" s="1049">
        <f>IF(BASE!$B$33=1,BASE!$C$33/1000,"")</f>
      </c>
      <c r="J12" s="1049">
        <f>IF(BASE!$B$34=1,BASE!$C$34/1000,"")</f>
      </c>
      <c r="K12" s="1049">
        <f>IF(BASE!$B$35=1,BASE!$C$35/1000,"")</f>
      </c>
      <c r="L12" s="1049">
        <f>IF(BASE!$B$36=1,BASE!$C$36/1000,"")</f>
      </c>
      <c r="M12" s="1049">
        <f>IF(BASE!$B$37=1,BASE!$C$37/1000,"")</f>
      </c>
      <c r="N12" s="1049">
        <f>IF(BASE!$B$38=1,BASE!$C$38/1000,"")</f>
      </c>
      <c r="P12" s="1049">
        <f>SUM(C12:E12)</f>
      </c>
      <c r="Q12" s="1049">
        <f>SUM(F12:H12)</f>
      </c>
      <c r="R12" s="1049">
        <f>SUM(I12:K12)</f>
      </c>
      <c r="S12" s="1049">
        <f>SUM(L12:N12)</f>
      </c>
    </row>
    <row r="13">
      <c r="B13" s="89" t="s">
        <v>91</v>
      </c>
      <c r="C13" s="127">
        <f>IF(BASE!$B$27=1,-BASE!$D$27/1000,"")</f>
      </c>
      <c r="D13" s="127">
        <f>IF(BASE!$B$28=1,-BASE!$D$28/1000,"")</f>
      </c>
      <c r="E13" s="127">
        <f>IF(BASE!$B$29=1,-BASE!$D$29/1000,"")</f>
      </c>
      <c r="F13" s="127">
        <f>IF(BASE!$B$30=1,-BASE!$D$30/1000,"")</f>
      </c>
      <c r="G13" s="127">
        <f>IF(BASE!$B$31=1,-BASE!$D$31/1000,"")</f>
      </c>
      <c r="H13" s="127">
        <f>IF(BASE!$B$32=1,-BASE!$D$32/1000,"")</f>
      </c>
      <c r="I13" s="127">
        <f>IF(BASE!$B$33=1,-BASE!$D$33/1000,"")</f>
      </c>
      <c r="J13" s="1058">
        <f>IF(BASE!$B$34=1,-BASE!$D$34/1000,"")</f>
      </c>
      <c r="K13" s="127">
        <f>IF(BASE!$B$35=1,-BASE!$D$35/1000,"")</f>
      </c>
      <c r="L13" s="127">
        <f>IF(BASE!$B$36=1,-BASE!$D$36/1000,"")</f>
      </c>
      <c r="M13" s="127">
        <f>IF(BASE!$B$37=1,-BASE!$D$37/1000,"")</f>
      </c>
      <c r="N13" s="127">
        <f>IF(BASE!$B$38=1,-BASE!$D$38/1000,"")</f>
      </c>
      <c r="P13" s="1055">
        <f>SUM(C13:E13)</f>
      </c>
      <c r="Q13" s="127">
        <f>SUM(F13:H13)</f>
      </c>
      <c r="R13" s="127">
        <f>SUM(I13:K13)</f>
      </c>
      <c r="S13" s="127">
        <f>SUM(L13:N13)</f>
      </c>
    </row>
    <row r="14" ht="18" thickBot="1">
      <c r="B14" s="79" t="s">
        <v>92</v>
      </c>
      <c r="C14" s="123">
        <f>IF(BASE!$B$27=1,SUM(C12,C13),"")</f>
      </c>
      <c r="D14" s="123">
        <f>IF(BASE!$B$28=1,SUM(D12,D13),"")</f>
      </c>
      <c r="E14" s="123">
        <f>IF(BASE!$B$29=1,SUM(E12,E13),"")</f>
      </c>
      <c r="F14" s="123">
        <f>IF(BASE!$B$30=1,SUM(F12,F13),"")</f>
      </c>
      <c r="G14" s="123">
        <f>IF(BASE!$B$31=1,SUM(G12,G13),"")</f>
      </c>
      <c r="H14" s="123">
        <f>IF(BASE!$B$32=1,SUM(H12,H13),"")</f>
      </c>
      <c r="I14" s="123">
        <f>IF(BASE!$B$33=1,SUM(I12,I13),"")</f>
      </c>
      <c r="J14" s="123">
        <f>IF(BASE!$B$34=1,SUM(J12,J13),"")</f>
      </c>
      <c r="K14" s="123">
        <f>IF(BASE!$B$35=1,SUM(K12,K13),"")</f>
      </c>
      <c r="L14" s="123">
        <f>IF(BASE!$B$36=1,SUM(L12,L13),"")</f>
      </c>
      <c r="M14" s="123">
        <f>IF(BASE!$B$37=1,SUM(M12,M13),"")</f>
      </c>
      <c r="N14" s="123">
        <f>IF(BASE!$B$38=1,SUM(N12,N13),"")</f>
      </c>
      <c r="P14" s="1056">
        <f>SUM(C14:E14)</f>
      </c>
      <c r="Q14" s="123">
        <f>SUM(F14:H14)</f>
      </c>
      <c r="R14" s="123">
        <f>SUM(I14:K14)</f>
      </c>
      <c r="S14" s="123">
        <f>SUM(L14:N14)</f>
      </c>
    </row>
    <row r="15">
      <c r="F15" s="1048" t="s">
        <v>53</v>
      </c>
      <c r="O15" s="1046"/>
      <c r="P15" s="1047"/>
    </row>
    <row r="16">
      <c r="O16" s="1046"/>
      <c r="P16" s="1047"/>
    </row>
    <row r="17">
      <c r="O17" s="1046"/>
      <c r="P17" s="1047"/>
    </row>
    <row r="18">
      <c r="O18" s="1046"/>
      <c r="P18" s="1047"/>
    </row>
    <row r="19">
      <c r="O19" s="1046"/>
      <c r="P19" s="1047"/>
    </row>
    <row r="20">
      <c r="O20" s="1046"/>
      <c r="P20" s="1047"/>
    </row>
    <row r="21">
      <c r="O21" s="1046"/>
      <c r="P21" s="1047"/>
    </row>
    <row r="22">
      <c r="O22" s="1046"/>
      <c r="P22" s="1047"/>
    </row>
    <row r="23">
      <c r="O23" s="1046"/>
      <c r="P23" s="1047"/>
    </row>
    <row r="24">
      <c r="O24" s="1046"/>
      <c r="P24" s="1047"/>
    </row>
    <row r="25">
      <c r="O25" s="1046"/>
      <c r="P25" s="1047"/>
    </row>
    <row r="26">
      <c r="O26" s="1046"/>
      <c r="P26" s="1047"/>
    </row>
    <row r="27">
      <c r="O27" s="1046"/>
      <c r="P27" s="1047"/>
    </row>
    <row r="28">
      <c r="O28" s="1046"/>
      <c r="P28" s="1047"/>
    </row>
    <row r="29">
      <c r="O29" s="1046"/>
      <c r="P29" s="1047"/>
    </row>
    <row r="30">
      <c r="O30" s="1046"/>
      <c r="P30" s="1047"/>
    </row>
    <row r="31">
      <c r="O31" s="1046"/>
      <c r="P31" s="1047"/>
    </row>
    <row r="32">
      <c r="O32" s="1046"/>
      <c r="P32" s="1047"/>
    </row>
    <row r="33">
      <c r="O33" s="1046"/>
      <c r="P33" s="1047"/>
    </row>
    <row r="34">
      <c r="O34" s="1046"/>
      <c r="P34" s="1047"/>
    </row>
    <row r="35">
      <c r="O35" s="1046"/>
      <c r="P35" s="1047"/>
    </row>
    <row r="36">
      <c r="O36" s="1046"/>
      <c r="P36" s="1047"/>
    </row>
    <row r="37">
      <c r="O37" s="1046"/>
      <c r="P37" s="1047"/>
    </row>
    <row r="38">
      <c r="O38" s="1046"/>
      <c r="P38" s="1047"/>
    </row>
    <row r="39">
      <c r="O39" s="1046"/>
      <c r="P39" s="1047"/>
    </row>
    <row r="40">
      <c r="O40" s="1046"/>
      <c r="P40" s="1047"/>
    </row>
    <row r="41">
      <c r="O41" s="1046"/>
      <c r="P41" s="1047"/>
    </row>
    <row r="42">
      <c r="O42" s="1046"/>
      <c r="P42" s="1047"/>
    </row>
    <row r="43">
      <c r="O43" s="1046"/>
      <c r="P43" s="1047"/>
    </row>
    <row r="44">
      <c r="O44" s="1046"/>
      <c r="P44" s="1047"/>
    </row>
    <row r="45">
      <c r="O45" s="1046"/>
      <c r="P45" s="1047"/>
    </row>
    <row r="46">
      <c r="O46" s="1046"/>
      <c r="P46" s="1047"/>
    </row>
    <row r="47">
      <c r="O47" s="1046"/>
      <c r="P47" s="1047"/>
    </row>
    <row r="48">
      <c r="O48" s="1046"/>
      <c r="P48" s="1047"/>
    </row>
    <row r="49">
      <c r="O49" s="1046"/>
      <c r="P49" s="1047"/>
    </row>
    <row r="50">
      <c r="O50" s="1046"/>
      <c r="P50" s="1047"/>
    </row>
    <row r="51">
      <c r="O51" s="1046"/>
      <c r="P51" s="1047"/>
    </row>
    <row r="52">
      <c r="O52" s="1046"/>
      <c r="P52" s="1047"/>
    </row>
    <row r="53">
      <c r="O53" s="1046"/>
      <c r="P53" s="1047"/>
    </row>
    <row r="54">
      <c r="O54" s="1046"/>
      <c r="P54" s="1047"/>
    </row>
    <row r="55">
      <c r="O55" s="1046"/>
      <c r="P55" s="1047"/>
    </row>
    <row r="56">
      <c r="O56" s="1046"/>
      <c r="P56" s="1047"/>
    </row>
    <row r="57">
      <c r="O57" s="1046"/>
      <c r="P57" s="1047"/>
    </row>
    <row r="58">
      <c r="O58" s="1046"/>
      <c r="P58" s="1047"/>
    </row>
    <row r="59">
      <c r="O59" s="1046"/>
      <c r="P59" s="1047"/>
    </row>
    <row r="60">
      <c r="O60" s="1046"/>
      <c r="P60" s="1047"/>
    </row>
    <row r="61">
      <c r="O61" s="1046"/>
      <c r="P61" s="1047"/>
    </row>
    <row r="62">
      <c r="O62" s="1046"/>
      <c r="P62" s="1047"/>
    </row>
    <row r="63">
      <c r="O63" s="1046"/>
      <c r="P63" s="1047"/>
    </row>
    <row r="64">
      <c r="O64" s="1046"/>
      <c r="P64" s="1047"/>
    </row>
    <row r="65">
      <c r="O65" s="1046"/>
      <c r="P65" s="1047"/>
    </row>
    <row r="66">
      <c r="O66" s="1046"/>
      <c r="P66" s="1047"/>
    </row>
    <row r="67">
      <c r="O67" s="1046"/>
      <c r="P67" s="1047"/>
    </row>
    <row r="68">
      <c r="O68" s="1046"/>
      <c r="P68" s="1047"/>
    </row>
    <row r="69">
      <c r="O69" s="1046"/>
      <c r="P69" s="1047"/>
    </row>
    <row r="70">
      <c r="O70" s="1046"/>
      <c r="P70" s="1047"/>
    </row>
    <row r="71">
      <c r="O71" s="1046"/>
      <c r="P71" s="1047"/>
    </row>
    <row r="72">
      <c r="O72" s="1046"/>
      <c r="P72" s="1047"/>
    </row>
    <row r="73">
      <c r="O73" s="1046"/>
      <c r="P73" s="1047"/>
    </row>
    <row r="74">
      <c r="O74" s="1046"/>
      <c r="P74" s="1047"/>
    </row>
    <row r="75">
      <c r="O75" s="1046"/>
      <c r="P75" s="1047"/>
    </row>
    <row r="76">
      <c r="O76" s="1046"/>
      <c r="P76" s="1047"/>
    </row>
    <row r="77">
      <c r="O77" s="1046"/>
      <c r="P77" s="1047"/>
    </row>
    <row r="78">
      <c r="O78" s="1046"/>
      <c r="P78" s="1047"/>
    </row>
    <row r="79">
      <c r="O79" s="1046"/>
      <c r="P79" s="1047"/>
    </row>
    <row r="80">
      <c r="O80" s="1046"/>
      <c r="P80" s="1047"/>
    </row>
    <row r="81">
      <c r="O81" s="1046"/>
      <c r="P81" s="1047"/>
    </row>
    <row r="82">
      <c r="O82" s="1046"/>
      <c r="P82" s="1047"/>
    </row>
    <row r="83">
      <c r="O83" s="1046"/>
      <c r="P83" s="1047"/>
    </row>
    <row r="84">
      <c r="O84" s="1046"/>
      <c r="P84" s="1047"/>
    </row>
    <row r="85">
      <c r="O85" s="1046"/>
      <c r="P85" s="1047"/>
    </row>
    <row r="86">
      <c r="O86" s="1046"/>
      <c r="P86" s="1047"/>
    </row>
    <row r="87">
      <c r="O87" s="1046"/>
      <c r="P87" s="1047"/>
    </row>
    <row r="88">
      <c r="O88" s="1046"/>
      <c r="P88" s="1047"/>
    </row>
    <row r="89">
      <c r="O89" s="1046"/>
      <c r="P89" s="1047"/>
    </row>
    <row r="90">
      <c r="O90" s="1046"/>
      <c r="P90" s="1047"/>
    </row>
    <row r="91">
      <c r="O91" s="1046"/>
      <c r="P91" s="1047"/>
    </row>
    <row r="92">
      <c r="O92" s="1046"/>
      <c r="P92" s="1047"/>
    </row>
    <row r="93">
      <c r="O93" s="1046"/>
      <c r="P93" s="1047"/>
    </row>
  </sheetData>
  <phoneticPr fontId="97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9630-C22D-4807-B664-F985F4EEC16C}">
  <dimension ref="B1:AF33"/>
  <sheetViews>
    <sheetView showGridLines="0" zoomScaleNormal="100" workbookViewId="0"/>
  </sheetViews>
  <sheetFormatPr defaultRowHeight="14.4"/>
  <cols>
    <col min="1" max="1" width="4.44140625" bestFit="1" customWidth="1"/>
    <col min="2" max="2" width="10.6640625" hidden="1" customWidth="1"/>
    <col min="3" max="3" width="10.6640625" bestFit="1" customWidth="1"/>
    <col min="4" max="4" width="6.33203125" bestFit="1" customWidth="1"/>
    <col min="5" max="5" width="5" bestFit="1" customWidth="1"/>
    <col min="6" max="6" width="9.44140625" bestFit="1" customWidth="1"/>
    <col min="7" max="7" width="10.44140625" bestFit="1" customWidth="1"/>
    <col min="8" max="8" width="10.5546875" bestFit="1" customWidth="1"/>
    <col min="9" max="9" width="11.109375" bestFit="1" customWidth="1"/>
    <col min="10" max="10" width="10.109375" bestFit="1" customWidth="1"/>
    <col min="11" max="11" width="12.109375" bestFit="1" customWidth="1"/>
    <col min="12" max="12" width="12.33203125" bestFit="1" customWidth="1"/>
    <col min="14" max="14" width="13.88671875" customWidth="1"/>
  </cols>
  <sheetData>
    <row r="1">
      <c r="B1">
        <v>1000000</v>
      </c>
      <c r="K1" s="931" t="s">
        <v>45</v>
      </c>
      <c r="L1" s="931"/>
    </row>
    <row r="2">
      <c r="G2" s="1113" t="s">
        <v>39</v>
      </c>
      <c r="H2" s="1113"/>
      <c r="I2" s="1113"/>
      <c r="J2" s="1113"/>
      <c r="K2" s="931" t="s">
        <v>14</v>
      </c>
      <c r="L2" s="930"/>
    </row>
    <row r="3" ht="19.8" customHeight="1">
      <c r="D3" t="s">
        <v>38</v>
      </c>
      <c r="E3" t="s">
        <v>37</v>
      </c>
      <c r="F3" t="s">
        <v>13</v>
      </c>
      <c r="G3" s="52" t="s">
        <v>36</v>
      </c>
      <c r="H3" s="52" t="s">
        <v>26</v>
      </c>
      <c r="I3" s="52" t="s">
        <v>35</v>
      </c>
      <c r="J3" s="52" t="s">
        <v>34</v>
      </c>
    </row>
    <row r="4" hidden="1">
      <c r="C4" s="218">
        <f>EOMONTH(BASE!$A$14,0)</f>
      </c>
      <c r="D4">
        <f>VLOOKUP(MONTH(C4),$AE$16:$AF$27,2,0)</f>
      </c>
      <c r="E4">
        <f>YEAR(C4)</f>
      </c>
      <c r="F4" s="497">
        <f>EOMONTH(BASE!$A$14,0)</f>
      </c>
      <c r="G4" s="66">
        <f>IF(BASE!$B$14=1,J4-H4,"")</f>
      </c>
      <c r="H4" s="496">
        <f>IF(BASE!$B$14=1,BASE!$F$14/1000,"")</f>
      </c>
      <c r="I4" s="788">
        <f>Receita!M3</f>
      </c>
      <c r="J4" s="261">
        <f>Receita!N3</f>
      </c>
      <c r="L4" s="66">
        <f>IF(BASE!$B$14=1,J4-I4,"")</f>
      </c>
    </row>
    <row r="5" hidden="1">
      <c r="C5" s="218">
        <f>EOMONTH(BASE!$A$15,0)</f>
      </c>
      <c r="D5">
        <f>VLOOKUP(MONTH(C5),$AE$16:$AF$27,2,0)</f>
      </c>
      <c r="E5">
        <f>YEAR(C5)</f>
      </c>
      <c r="F5" s="497">
        <f>EOMONTH(BASE!$A$15,0)</f>
      </c>
      <c r="G5" s="66">
        <f>IF(BASE!$B$15=1,J5-H5,"")</f>
      </c>
      <c r="H5" s="496">
        <f>IF(BASE!$B$15=1,BASE!$F$15/1000,"")</f>
      </c>
      <c r="I5" s="788">
        <f>IF(BASE!$B$15=1,J4,"")</f>
      </c>
      <c r="J5" s="261">
        <f>Receita!C8</f>
      </c>
      <c r="L5" s="66">
        <f>IF(BASE!$B$15=1,J5-I5,"")</f>
      </c>
    </row>
    <row r="6" hidden="1">
      <c r="C6" s="218">
        <f>EOMONTH(BASE!$A$16,0)</f>
      </c>
      <c r="D6">
        <f>VLOOKUP(MONTH(C6),$AE$16:$AF$27,2,0)</f>
      </c>
      <c r="E6">
        <f>YEAR(C6)</f>
      </c>
      <c r="F6" s="497">
        <f>EOMONTH(BASE!$A$16,0)</f>
      </c>
      <c r="G6" s="66">
        <f>IF(BASE!$B$16=1,J6-H6,"")</f>
      </c>
      <c r="H6" s="496">
        <f>IF(BASE!$B$16=1,BASE!$F$16/1000,"")</f>
      </c>
      <c r="I6" s="788">
        <f>IF(BASE!$B$16=1,J5,"")</f>
      </c>
      <c r="J6" s="261">
        <f>Receita!D8</f>
      </c>
      <c r="L6" s="66">
        <f>IF(BASE!$B$16=1,J6-I6,"")</f>
      </c>
    </row>
    <row r="7" hidden="1">
      <c r="C7" s="218">
        <f>EOMONTH(BASE!$A$17,0)</f>
      </c>
      <c r="D7">
        <f>VLOOKUP(MONTH(C7),$AE$16:$AF$27,2,0)</f>
      </c>
      <c r="E7">
        <f>YEAR(C7)</f>
      </c>
      <c r="F7" s="497">
        <f>EOMONTH(BASE!$A$17,0)</f>
      </c>
      <c r="G7" s="66">
        <f>IF(BASE!$B$17=1,J7-H7,"")</f>
      </c>
      <c r="H7" s="496">
        <f>IF(BASE!$B$17=1,BASE!$F$17/1000,"")</f>
      </c>
      <c r="I7" s="788">
        <f>IF(BASE!$B$17=1,J6,"")</f>
      </c>
      <c r="J7" s="261">
        <f>Receita!E8</f>
      </c>
      <c r="L7" s="66">
        <f>IF(BASE!$B$17=1,J7-I7,"")</f>
      </c>
    </row>
    <row r="8">
      <c r="C8" s="218">
        <f>EOMONTH(BASE!$A$18,0)</f>
      </c>
      <c r="D8">
        <f>VLOOKUP(MONTH(C8),$AE$16:$AF$27,2,0)</f>
      </c>
      <c r="E8">
        <f>YEAR(C8)</f>
      </c>
      <c r="F8" s="497">
        <f>EOMONTH(BASE!$A$18,0)</f>
      </c>
      <c r="G8" s="66">
        <f>IF(BASE!$B$18=1,J8-H8,"")</f>
      </c>
      <c r="H8" s="496">
        <f>IF(BASE!$B$18=1,BASE!$F$18/1000,"")</f>
      </c>
      <c r="I8" s="788">
        <f>IF(BASE!$B$18=1,J7,"")</f>
      </c>
      <c r="J8" s="261">
        <f>Receita!F8</f>
      </c>
      <c r="L8" s="66">
        <f>IF(BASE!$B$18=1,J8-I8,"")</f>
      </c>
    </row>
    <row r="9">
      <c r="C9" s="218">
        <f>EOMONTH(BASE!$A$19,0)</f>
      </c>
      <c r="D9">
        <f>VLOOKUP(MONTH(C9),$AE$16:$AF$27,2,0)</f>
      </c>
      <c r="E9">
        <f>YEAR(C9)</f>
      </c>
      <c r="F9" s="497">
        <f>EOMONTH(BASE!$A$19,0)</f>
      </c>
      <c r="G9" s="66">
        <f>IF(BASE!$B$19=1,J9-H9,"")</f>
      </c>
      <c r="H9" s="496">
        <f>IF(BASE!$B$19=1,BASE!$F$19/1000,"")</f>
      </c>
      <c r="I9" s="788">
        <f>IF(BASE!$B$19=1,J8,"")</f>
      </c>
      <c r="J9" s="261">
        <f>Receita!G8</f>
      </c>
      <c r="L9" s="66">
        <f>IF(BASE!$B$19=1,J9-I9,"")</f>
      </c>
    </row>
    <row r="10">
      <c r="C10" s="218">
        <f>EOMONTH(BASE!$A$20,0)</f>
      </c>
      <c r="D10">
        <f>VLOOKUP(MONTH(C10),$AE$16:$AF$27,2,0)</f>
      </c>
      <c r="E10">
        <f>YEAR(C10)</f>
      </c>
      <c r="F10" s="497">
        <f>EOMONTH(BASE!$A$20,0)</f>
      </c>
      <c r="G10" s="66">
        <f>IF(BASE!$B$20=1,J10-H10,"")</f>
      </c>
      <c r="H10" s="496">
        <f>IF(BASE!$B$20=1,BASE!$F$20/1000,"")</f>
      </c>
      <c r="I10" s="788">
        <f>IF(BASE!$B$20=1,J9,"")</f>
      </c>
      <c r="J10" s="261">
        <f>Receita!H8</f>
      </c>
      <c r="L10" s="66">
        <f>IF(BASE!$B$20=1,J10-I10,"")</f>
      </c>
    </row>
    <row r="11">
      <c r="C11" s="218">
        <f>EOMONTH(BASE!$A$21,0)</f>
      </c>
      <c r="D11">
        <f>VLOOKUP(MONTH(C11),$AE$16:$AF$27,2,0)</f>
      </c>
      <c r="E11">
        <f>YEAR(C11)</f>
      </c>
      <c r="F11" s="497">
        <f>EOMONTH(BASE!$A$21,0)</f>
      </c>
      <c r="G11" s="66">
        <f>IF(BASE!$B$21=1,J11-H11,"")</f>
      </c>
      <c r="H11" s="496">
        <f>IF(BASE!$B$21=1,BASE!$F$21/1000,"")</f>
      </c>
      <c r="I11" s="788">
        <f>IF(BASE!$B$21=1,J10,"")</f>
      </c>
      <c r="J11" s="261">
        <f>Receita!I8</f>
      </c>
      <c r="L11" s="66">
        <f>IF(BASE!$B$21=1,J11-I11,"")</f>
      </c>
    </row>
    <row r="12">
      <c r="C12" s="218">
        <f>EOMONTH(BASE!$A$22,0)</f>
      </c>
      <c r="D12">
        <f>VLOOKUP(MONTH(C12),$AE$16:$AF$27,2,0)</f>
      </c>
      <c r="E12">
        <f>YEAR(C12)</f>
      </c>
      <c r="F12" s="497">
        <f>EOMONTH(BASE!$A$22,0)</f>
      </c>
      <c r="G12" s="66">
        <f>IF(BASE!$B$22=1,J12-H12,"")</f>
      </c>
      <c r="H12" s="496">
        <f>IF(BASE!$B$22=1,BASE!$F$22/1000,"")</f>
      </c>
      <c r="I12" s="788">
        <f>IF(BASE!$B$22=1,J11,"")</f>
      </c>
      <c r="J12" s="261">
        <f>Receita!J8</f>
      </c>
      <c r="L12" s="66">
        <f>IF(BASE!$B$22=1,J12-I12,"")</f>
      </c>
    </row>
    <row r="13">
      <c r="C13" s="218">
        <f>EOMONTH(BASE!$A$23,0)</f>
      </c>
      <c r="D13">
        <f>VLOOKUP(MONTH(C13),$AE$16:$AF$27,2,0)</f>
      </c>
      <c r="E13">
        <f>YEAR(C13)</f>
      </c>
      <c r="F13" s="497">
        <f>EOMONTH(BASE!$A$23,0)</f>
      </c>
      <c r="G13" s="66">
        <f>IF(BASE!$B$23=1,J13-H13,"")</f>
      </c>
      <c r="H13" s="496">
        <f>IF(BASE!$B$23=1,BASE!$F$23/1000,"")</f>
      </c>
      <c r="I13" s="788">
        <f>IF(BASE!$B$23=1,J12,"")</f>
      </c>
      <c r="J13" s="261">
        <f>Receita!K8</f>
      </c>
      <c r="L13" s="66">
        <f>IF(BASE!$B$23=1,J13-I13,"")</f>
      </c>
    </row>
    <row r="14">
      <c r="C14" s="218">
        <f>EOMONTH(BASE!$A$24,0)</f>
      </c>
      <c r="D14">
        <f>VLOOKUP(MONTH(C14),$AE$16:$AF$27,2,0)</f>
      </c>
      <c r="E14">
        <f>YEAR(C14)</f>
      </c>
      <c r="F14" s="497">
        <f>EOMONTH(BASE!$A$24,0)</f>
      </c>
      <c r="G14" s="66">
        <f>IF(BASE!$B$24=1,J14-H14,"")</f>
      </c>
      <c r="H14" s="496">
        <f>IF(BASE!$B$24=1,BASE!$F$24/1000,"")</f>
      </c>
      <c r="I14" s="788">
        <f>IF(BASE!$B$24=1,J13,"")</f>
      </c>
      <c r="J14" s="261">
        <f>Receita!L8</f>
      </c>
      <c r="L14" s="66">
        <f>IF(BASE!$B$24=1,J14-I14,"")</f>
      </c>
    </row>
    <row r="15">
      <c r="C15" s="218">
        <f>EOMONTH(BASE!$A$25,0)</f>
      </c>
      <c r="D15">
        <f>VLOOKUP(MONTH(C15),$AE$16:$AF$27,2,0)</f>
      </c>
      <c r="E15">
        <f>YEAR(C15)</f>
      </c>
      <c r="F15" s="497">
        <f>EOMONTH(BASE!$A$25,0)</f>
      </c>
      <c r="G15" s="66">
        <f>IF(BASE!$B$25=1,J15-H15,"")</f>
      </c>
      <c r="H15" s="496">
        <f>IF(BASE!$B$25=1,BASE!$F$25/1000,"")</f>
      </c>
      <c r="I15" s="788">
        <f>IF(BASE!$B$25=1,J14,"")</f>
      </c>
      <c r="J15" s="261">
        <f>Receita!M8</f>
      </c>
      <c r="L15" s="66">
        <f>IF(BASE!$B$25=1,J15-I15,"")</f>
      </c>
    </row>
    <row r="16">
      <c r="C16" s="218">
        <f>EOMONTH(BASE!$A$26,0)</f>
      </c>
      <c r="D16">
        <f>VLOOKUP(MONTH(C16),$AE$16:$AF$27,2,0)</f>
      </c>
      <c r="E16">
        <f>YEAR(C16)</f>
      </c>
      <c r="F16" s="497">
        <f>EOMONTH(BASE!$A$26,0)</f>
      </c>
      <c r="G16" s="66">
        <f>IF(BASE!$B$26=1,J16-H16,"")</f>
      </c>
      <c r="H16" s="496">
        <f>IF(BASE!$B$26=1,BASE!$F$26/1000,"")</f>
      </c>
      <c r="I16" s="788">
        <f>IF(BASE!$B$26=1,J15,"")</f>
      </c>
      <c r="J16" s="261">
        <f>Receita!N8</f>
      </c>
      <c r="L16" s="66">
        <f>IF(BASE!$B$26=1,J16-I16,"")</f>
      </c>
      <c r="AE16">
        <v>1</v>
      </c>
      <c r="AF16" t="s">
        <v>16</v>
      </c>
    </row>
    <row r="17">
      <c r="C17" s="218">
        <f>EOMONTH(BASE!$A$27,0)</f>
      </c>
      <c r="D17">
        <f>VLOOKUP(MONTH(C17),$AE$16:$AF$27,2,0)</f>
      </c>
      <c r="E17">
        <f>YEAR(C17)</f>
      </c>
      <c r="F17" s="497">
        <f>EOMONTH(BASE!$A$27,0)</f>
      </c>
      <c r="G17" s="66">
        <f>IF(BASE!$B$27=1,J17-H17,"")</f>
      </c>
      <c r="H17" s="496">
        <f>IF(BASE!$B$27=1,BASE!$F$27/1000,"")</f>
      </c>
      <c r="I17" s="788">
        <f>IF(BASE!$B$27=1,J16,"")</f>
      </c>
      <c r="J17" s="261">
        <f>Receita!C13</f>
      </c>
      <c r="L17" s="66">
        <f>IF(BASE!$B$27=1,J17-I17,"")</f>
      </c>
      <c r="AE17">
        <f>1+AE16</f>
      </c>
      <c r="AF17" t="s">
        <v>33</v>
      </c>
    </row>
    <row r="18">
      <c r="C18" s="218">
        <f>EOMONTH(BASE!$A$28,0)</f>
      </c>
      <c r="D18">
        <f>VLOOKUP(MONTH(C18),$AE$16:$AF$27,2,0)</f>
      </c>
      <c r="E18">
        <f>YEAR(C18)</f>
      </c>
      <c r="F18" s="497">
        <f>EOMONTH(BASE!$A$28,0)</f>
      </c>
      <c r="G18" s="66">
        <f>IF(BASE!$B$28=1,J18-H18,"")</f>
      </c>
      <c r="H18" s="496">
        <f>IF(BASE!$B$28=1,BASE!$F$28/1000,"")</f>
      </c>
      <c r="I18" s="788">
        <f>IF(BASE!$B$28=1,J17,"")</f>
      </c>
      <c r="J18" s="261">
        <f>Receita!D13</f>
      </c>
      <c r="L18" s="66">
        <f>IF(BASE!$B$28=1,J18-I18,"")</f>
      </c>
      <c r="AE18">
        <f>1+AE17</f>
      </c>
      <c r="AF18" t="s">
        <v>17</v>
      </c>
    </row>
    <row r="19">
      <c r="C19" s="218">
        <f>EOMONTH(BASE!$A$29,0)</f>
      </c>
      <c r="D19">
        <f>VLOOKUP(MONTH(C19),$AE$16:$AF$27,2,0)</f>
      </c>
      <c r="E19">
        <f>YEAR(C19)</f>
      </c>
      <c r="F19" s="497">
        <f>EOMONTH(BASE!$A$29,0)</f>
      </c>
      <c r="G19" s="66">
        <f>IF(BASE!$B$29=1,J19-H19,"")</f>
      </c>
      <c r="H19" s="496">
        <f>IF(BASE!$B$29=1,BASE!$F$29/1000,"")</f>
      </c>
      <c r="I19" s="788">
        <f>IF(BASE!$B$29=1,J18,"")</f>
      </c>
      <c r="J19" s="261">
        <f>Receita!E13</f>
      </c>
      <c r="L19" s="66">
        <f>IF(BASE!$B$29=1,J19-I19,"")</f>
      </c>
      <c r="AE19">
        <f>1+AE18</f>
      </c>
      <c r="AF19" t="s">
        <v>32</v>
      </c>
    </row>
    <row r="20">
      <c r="C20" s="218">
        <f>EOMONTH(BASE!$A$30,0)</f>
      </c>
      <c r="D20">
        <f>VLOOKUP(MONTH(C20),$AE$16:$AF$27,2,0)</f>
      </c>
      <c r="E20">
        <f>YEAR(C20)</f>
      </c>
      <c r="F20" s="497">
        <f>EOMONTH(BASE!$A$30,0)</f>
      </c>
      <c r="G20" s="66">
        <f>IF(BASE!$B$30=1,J20-H20,"")</f>
      </c>
      <c r="H20" s="496">
        <f>IF(BASE!$B$30=1,BASE!$F$30/1000,"")</f>
      </c>
      <c r="I20" s="788">
        <f>IF(BASE!$B$30=1,J19,"")</f>
      </c>
      <c r="J20" s="261">
        <f>Receita!F13</f>
      </c>
      <c r="L20" s="66">
        <f>IF(BASE!$B$30=1,J20-I20,"")</f>
      </c>
      <c r="AE20">
        <f>1+AE19</f>
      </c>
      <c r="AF20" t="s">
        <v>31</v>
      </c>
    </row>
    <row r="21">
      <c r="C21" s="218">
        <f>EOMONTH(BASE!$A$31,0)</f>
      </c>
      <c r="D21">
        <f>VLOOKUP(MONTH(C21),$AE$16:$AF$27,2,0)</f>
      </c>
      <c r="E21">
        <f>YEAR(C21)</f>
      </c>
      <c r="F21" s="497">
        <f>EOMONTH(BASE!$A$31,0)</f>
      </c>
      <c r="G21" s="66">
        <f>IF(BASE!$B$31=1,J21-H21,"")</f>
      </c>
      <c r="H21" s="496">
        <f>IF(BASE!$B$31=1,BASE!$F$31/1000,"")</f>
      </c>
      <c r="I21" s="788">
        <f>IF(BASE!$B$31=1,J20,"")</f>
      </c>
      <c r="J21" s="261">
        <f>Receita!G13</f>
      </c>
      <c r="L21" s="66">
        <f>IF(BASE!$B$31=1,J21-I21,"")</f>
      </c>
      <c r="AE21">
        <f>1+AE20</f>
      </c>
      <c r="AF21" t="s">
        <v>18</v>
      </c>
    </row>
    <row r="22">
      <c r="C22" s="218">
        <f>EOMONTH(BASE!$A$32,0)</f>
      </c>
      <c r="D22">
        <f>VLOOKUP(MONTH(C22),$AE$16:$AF$27,2,0)</f>
      </c>
      <c r="E22">
        <f>YEAR(C22)</f>
      </c>
      <c r="F22" s="497">
        <f>EOMONTH(BASE!$A$32,0)</f>
      </c>
      <c r="G22" s="66">
        <f>IF(BASE!$B$32=1,J22-H22,"")</f>
      </c>
      <c r="H22" s="496">
        <f>IF(BASE!$B$32=1,BASE!$F$32/1000,"")</f>
      </c>
      <c r="I22" s="788">
        <f>IF(BASE!$B$32=1,J21,"")</f>
      </c>
      <c r="J22" s="261">
        <f>Receita!H13</f>
      </c>
      <c r="L22" s="66">
        <f>IF(BASE!$B$32=1,J22-I22,"")</f>
      </c>
      <c r="AE22">
        <f>1+AE21</f>
      </c>
      <c r="AF22" t="s">
        <v>19</v>
      </c>
    </row>
    <row r="23">
      <c r="C23" s="218">
        <f>EOMONTH(BASE!$A$33,0)</f>
      </c>
      <c r="D23">
        <f>VLOOKUP(MONTH(C23),$AE$16:$AF$27,2,0)</f>
      </c>
      <c r="E23">
        <f>YEAR(C23)</f>
      </c>
      <c r="F23" s="497">
        <f>EOMONTH(BASE!$A$33,0)</f>
      </c>
      <c r="G23" s="66">
        <f>IF(BASE!$B$33=1,J23-H23,"")</f>
      </c>
      <c r="H23" s="496">
        <f>IF(BASE!$B$33=1,BASE!$F$33/1000,"")</f>
      </c>
      <c r="I23" s="788">
        <f>IF(BASE!$B$33=1,J22,"")</f>
      </c>
      <c r="J23" s="261">
        <f>Receita!I13</f>
      </c>
      <c r="L23" s="66">
        <f>IF(BASE!$B$33=1,J23-I23,"")</f>
      </c>
      <c r="AE23">
        <f>1+AE22</f>
      </c>
      <c r="AF23" t="s">
        <v>30</v>
      </c>
    </row>
    <row r="24">
      <c r="C24" s="218">
        <f>EOMONTH(BASE!$A$34,0)</f>
      </c>
      <c r="D24">
        <f>VLOOKUP(MONTH(C24),$AE$16:$AF$27,2,0)</f>
      </c>
      <c r="E24">
        <f>YEAR(C24)</f>
      </c>
      <c r="F24" s="497">
        <f>EOMONTH(BASE!$A$34,0)</f>
      </c>
      <c r="G24" s="66">
        <f>IF(BASE!$B$34=1,J24-H24,"")</f>
      </c>
      <c r="H24" s="496">
        <f>IF(BASE!$B$34=1,BASE!$F$34/1000,"")</f>
      </c>
      <c r="I24" s="788">
        <f>IF(BASE!$B$34=1,J23,"")</f>
      </c>
      <c r="J24" s="261">
        <f>Receita!J13</f>
      </c>
      <c r="L24" s="66">
        <f>IF(BASE!$B$34=1,J24-I24,"")</f>
      </c>
      <c r="AE24">
        <f>1+AE23</f>
      </c>
      <c r="AF24" t="s">
        <v>29</v>
      </c>
    </row>
    <row r="25">
      <c r="C25" s="218">
        <f>EOMONTH(BASE!$A$35,0)</f>
      </c>
      <c r="D25">
        <f>VLOOKUP(MONTH(C25),$AE$16:$AF$27,2,0)</f>
      </c>
      <c r="E25">
        <f>YEAR(C25)</f>
      </c>
      <c r="F25" s="497">
        <f>EOMONTH(BASE!$A$35,0)</f>
      </c>
      <c r="G25" s="66">
        <f>IF(BASE!$B$35=1,J25-H25,"")</f>
      </c>
      <c r="H25" s="496">
        <f>IF(BASE!$B$35=1,BASE!$F$35/1000,"")</f>
      </c>
      <c r="I25" s="788">
        <f>IF(BASE!$B$35=1,J24,"")</f>
      </c>
      <c r="J25" s="261">
        <f>Receita!K13</f>
      </c>
      <c r="L25" s="66">
        <f>IF(BASE!$B$35=1,J25-I25,"")</f>
      </c>
      <c r="AE25">
        <f>1+AE24</f>
      </c>
      <c r="AF25" t="s">
        <v>28</v>
      </c>
    </row>
    <row r="26">
      <c r="C26" s="218">
        <f>EOMONTH(BASE!$A$36,0)</f>
      </c>
      <c r="D26">
        <f>VLOOKUP(MONTH(C26),$AE$16:$AF$27,2,0)</f>
      </c>
      <c r="E26">
        <f>YEAR(C26)</f>
      </c>
      <c r="F26" s="497">
        <f>EOMONTH(BASE!$A$36,0)</f>
      </c>
      <c r="G26" s="66">
        <f>IF(BASE!$B$36=1,J26-H26,"")</f>
      </c>
      <c r="H26" s="496">
        <f>IF(BASE!$B$36=1,BASE!$F$36/1000,"")</f>
      </c>
      <c r="I26" s="788">
        <f>IF(BASE!$B$36=1,J25,"")</f>
      </c>
      <c r="J26" s="261">
        <f>Receita!L13</f>
      </c>
      <c r="L26" s="66">
        <f>IF(BASE!$B$36=1,J26-I26,"")</f>
      </c>
      <c r="AE26">
        <f>1+AE25</f>
      </c>
      <c r="AF26" t="s">
        <v>20</v>
      </c>
    </row>
    <row r="27">
      <c r="C27" s="218">
        <f>EOMONTH(BASE!$A$37,0)</f>
      </c>
      <c r="D27">
        <f>VLOOKUP(MONTH(C27),$AE$16:$AF$27,2,0)</f>
      </c>
      <c r="E27">
        <f>YEAR(C27)</f>
      </c>
      <c r="F27" s="497">
        <f>EOMONTH(BASE!$A$37,0)</f>
      </c>
      <c r="G27" s="66">
        <f>IF(BASE!$B$37=1,J27-H27,"")</f>
      </c>
      <c r="H27" s="496">
        <f>IF(BASE!$B$37=1,BASE!$F$37/1000,"")</f>
      </c>
      <c r="I27" s="788">
        <f>IF(BASE!$B$37=1,J26,"")</f>
      </c>
      <c r="J27" s="261">
        <f>Receita!M13</f>
      </c>
      <c r="L27" s="66">
        <f>IF(BASE!$B$37=1,J27-I27,"")</f>
      </c>
      <c r="AE27">
        <f>1+AE26</f>
      </c>
      <c r="AF27" t="s">
        <v>27</v>
      </c>
    </row>
    <row r="28">
      <c r="C28" s="218">
        <f>EOMONTH(BASE!$A$38,0)</f>
      </c>
      <c r="D28">
        <f>VLOOKUP(MONTH(C28),$AE$16:$AF$27,2,0)</f>
      </c>
      <c r="E28">
        <f>YEAR(C28)</f>
      </c>
      <c r="F28" s="497">
        <f>EOMONTH(BASE!$A$38,0)</f>
      </c>
      <c r="G28" s="66">
        <f>IF(BASE!$B$38=1,J28-H28,"")</f>
      </c>
      <c r="H28" s="496">
        <f>IF(BASE!$B$38=1,BASE!$F$38/1000,"")</f>
      </c>
      <c r="I28" s="788">
        <f>IF(BASE!$B$38=1,J27,"")</f>
      </c>
      <c r="J28" s="261">
        <f>Receita!N13</f>
      </c>
      <c r="L28" s="66">
        <f>IF(BASE!$B$38=1,J28-I28,"")</f>
      </c>
    </row>
    <row r="33">
      <c r="M33" s="496"/>
    </row>
  </sheetData>
  <mergeCells count="1">
    <mergeCell ref="G2:J2"/>
  </mergeCells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E970-846C-4DDC-A347-914DD59572FA}">
  <dimension ref="B1:N14"/>
  <sheetViews>
    <sheetView showGridLines="0" zoomScaleNormal="100" workbookViewId="0"/>
  </sheetViews>
  <sheetFormatPr defaultRowHeight="14.4"/>
  <cols>
    <col min="2" max="2" width="13.6640625" bestFit="1" customWidth="1"/>
    <col min="3" max="3" width="10.109375" bestFit="1" customWidth="1"/>
    <col min="4" max="4" width="10.33203125" bestFit="1" customWidth="1"/>
    <col min="5" max="5" width="10.44140625" bestFit="1" customWidth="1"/>
    <col min="6" max="6" width="10" bestFit="1" customWidth="1"/>
    <col min="7" max="7" width="10.88671875" bestFit="1" customWidth="1"/>
    <col min="8" max="8" width="10.33203125" bestFit="1" customWidth="1"/>
    <col min="9" max="9" width="9.33203125" bestFit="1" customWidth="1"/>
    <col min="10" max="10" width="10.5546875" bestFit="1" customWidth="1"/>
    <col min="11" max="11" width="10.44140625" bestFit="1" customWidth="1"/>
    <col min="12" max="12" width="9.88671875" bestFit="1" customWidth="1"/>
    <col min="13" max="14" width="10.44140625" bestFit="1" customWidth="1"/>
  </cols>
  <sheetData>
    <row r="1" ht="18" thickBot="1">
      <c r="B1" s="1050" t="s">
        <v>2</v>
      </c>
      <c r="C1" s="1057">
        <f>BASE!$A$3</f>
      </c>
      <c r="D1" s="1057">
        <f>BASE!$A$4</f>
      </c>
      <c r="E1" s="1057">
        <f>BASE!$A$5</f>
      </c>
      <c r="F1" s="1057">
        <f>BASE!$A$6</f>
      </c>
      <c r="G1" s="1057">
        <f>BASE!$A$7</f>
      </c>
      <c r="H1" s="1057">
        <f>BASE!$A$8</f>
      </c>
      <c r="I1" s="1057">
        <f>BASE!$A$9</f>
      </c>
      <c r="J1" s="1057">
        <f>BASE!$A$10</f>
      </c>
      <c r="K1" s="1057">
        <f>BASE!$A$11</f>
      </c>
      <c r="L1" s="1057">
        <f>BASE!$A$12</f>
      </c>
      <c r="M1" s="1057">
        <f>BASE!$A$13</f>
      </c>
      <c r="N1" s="1057">
        <f>BASE!$A$14</f>
      </c>
    </row>
    <row r="2" ht="18" thickBot="1">
      <c r="B2" s="1051" t="s">
        <v>67</v>
      </c>
      <c r="C2" s="1052">
        <f>Confronto!C2</f>
      </c>
      <c r="D2" s="1052">
        <f>Confronto!D2</f>
      </c>
      <c r="E2" s="1052">
        <f>Confronto!E2</f>
      </c>
      <c r="F2" s="1052">
        <f>Confronto!F2</f>
      </c>
      <c r="G2" s="1052">
        <f>Confronto!G2</f>
      </c>
      <c r="H2" s="1052">
        <f>Confronto!H2</f>
      </c>
      <c r="I2" s="1052">
        <f>Confronto!I2</f>
      </c>
      <c r="J2" s="1052">
        <f>Confronto!J2</f>
      </c>
      <c r="K2" s="1052">
        <f>Confronto!K2</f>
      </c>
      <c r="L2" s="1052">
        <f>Confronto!L2</f>
      </c>
      <c r="M2" s="1052">
        <f>Confronto!M2</f>
      </c>
      <c r="N2" s="1052">
        <f>Confronto!N2</f>
      </c>
    </row>
    <row r="3" ht="18" thickBot="1">
      <c r="B3" s="1051" t="s">
        <v>98</v>
      </c>
      <c r="C3" s="1052">
        <f>IF(BASE!$B$3=1,BASE!$AQ$9/1000+SUM(Confronto!$C$4:C4)+SUM(BASE!$AO$3:$AO$3)/1000,"")</f>
      </c>
      <c r="D3" s="1052">
        <f>IF(BASE!$B$4=1,BASE!$AQ$9/1000+SUM(Confronto!$C$4:D4)+SUM(BASE!$AO$3:$AO$4)/1000,"")</f>
      </c>
      <c r="E3" s="1052">
        <f>IF(BASE!$B$5=1,BASE!$AQ$9/1000+SUM(Confronto!$C$4:E4)+SUM(BASE!$AO$3:$AO$5)/1000,"")</f>
      </c>
      <c r="F3" s="1052">
        <f>IF(BASE!$B$6=1,BASE!$AQ$9/1000+SUM(Confronto!$C$4:F4)+SUM(BASE!$AO$3:$AO$6)/1000,"")</f>
      </c>
      <c r="G3" s="1052">
        <f>IF(BASE!$B$7=1,BASE!$AQ$9/1000+SUM(Confronto!$C$4:G4)+SUM(BASE!$AO$3:$AO$7)/1000,"")</f>
      </c>
      <c r="H3" s="1052">
        <f>IF(BASE!$B$8=1,BASE!$AQ$9/1000+SUM(Confronto!$C$4:H4)+SUM(BASE!$AO$3:$AO$8)/1000,"")</f>
      </c>
      <c r="I3" s="1052">
        <f>IF(BASE!$B$9=1,BASE!$AQ$9/1000+SUM(Confronto!$C$4:I4)+SUM(BASE!$AO$3:$AO$9)/1000,"")</f>
      </c>
      <c r="J3" s="1052">
        <f>IF(BASE!$B$10=1,BASE!$AQ$9/1000+SUM(Confronto!$C$4:J4)+SUM(BASE!$AO$3:$AO$10)/1000,"")</f>
      </c>
      <c r="K3" s="1052">
        <f>IF(BASE!$B$11=1,BASE!$AQ$9/1000+SUM(Confronto!$C$4:K4)+SUM(BASE!$AO$3:$AO$11)/1000,"")</f>
      </c>
      <c r="L3" s="1052">
        <f>IF(BASE!$B$12=1,BASE!$AQ$9/1000+SUM(Confronto!$C$4:L4)+SUM(BASE!$AO$3:$AO$12)/1000,"")</f>
      </c>
      <c r="M3" s="1052">
        <f>IF(BASE!$B$13=1,BASE!$AQ$9/1000+SUM(Confronto!$C$4:M4)+SUM(BASE!$AO$3:$AO$13)/1000,"")</f>
      </c>
      <c r="N3" s="1052">
        <f>IF(BASE!$B$14=1,BASE!$AQ$9/1000+SUM(Confronto!$C$4:N4)+SUM(BASE!$AO$3:$AO$14)/1000,"")</f>
      </c>
    </row>
    <row r="4" ht="18" thickBot="1">
      <c r="B4" s="1051" t="s">
        <v>97</v>
      </c>
      <c r="C4" s="1066">
        <f>IF(BASE!$B$3=1,C3-BASE!$AQ$9/1000,"")</f>
      </c>
      <c r="D4" s="1066">
        <f>IF(BASE!$B$4=1,D3-C3,"")</f>
      </c>
      <c r="E4" s="1066">
        <f>IF(BASE!$B$5=1,E3-D3,"")</f>
      </c>
      <c r="F4" s="1066">
        <f>IF(BASE!$B$6=1,F3-E3,"")</f>
      </c>
      <c r="G4" s="1066">
        <f>IF(BASE!$B$7=1,G3-F3,"")</f>
      </c>
      <c r="H4" s="1066">
        <f>IF(BASE!$B$8=1,H3-G3,"")</f>
      </c>
      <c r="I4" s="1066">
        <f>IF(BASE!$B$9=1,I3-H3,"")</f>
      </c>
      <c r="J4" s="1066">
        <f>IF(BASE!$B$10=1,J3-I3,"")</f>
      </c>
      <c r="K4" s="1066">
        <f>IF(BASE!$B$11=1,K3-J3,"")</f>
      </c>
      <c r="L4" s="1066">
        <f>IF(BASE!$B$12=1,L3-K3,"")</f>
      </c>
      <c r="M4" s="1066">
        <f>IF(BASE!$B$13=1,M3-L3,"")</f>
      </c>
      <c r="N4" s="1066">
        <f>IF(BASE!$B$14=1,N3-M3,"")</f>
      </c>
    </row>
    <row r="5" ht="15" thickBot="1"/>
    <row r="6" ht="18" thickBot="1">
      <c r="B6" s="1050" t="s">
        <v>2</v>
      </c>
      <c r="C6" s="1057">
        <f>BASE!$A$15</f>
      </c>
      <c r="D6" s="1057">
        <f>BASE!$A$16</f>
      </c>
      <c r="E6" s="1057">
        <f>BASE!$A$17</f>
      </c>
      <c r="F6" s="1057">
        <f>BASE!$A$18</f>
      </c>
      <c r="G6" s="1057">
        <f>BASE!$A$19</f>
      </c>
      <c r="H6" s="1057">
        <f>BASE!$A$20</f>
      </c>
      <c r="I6" s="1057">
        <f>BASE!$A$21</f>
      </c>
      <c r="J6" s="1057">
        <f>BASE!$A$22</f>
      </c>
      <c r="K6" s="1057">
        <f>BASE!$A$23</f>
      </c>
      <c r="L6" s="1057">
        <f>BASE!$A$24</f>
      </c>
      <c r="M6" s="1057">
        <f>BASE!$A$25</f>
      </c>
      <c r="N6" s="1057">
        <f>BASE!$A$26</f>
      </c>
    </row>
    <row r="7" ht="18" thickBot="1">
      <c r="B7" s="1051" t="s">
        <v>65</v>
      </c>
      <c r="C7" s="1052">
        <f>Confronto!C7</f>
      </c>
      <c r="D7" s="1052">
        <f>Confronto!D7</f>
      </c>
      <c r="E7" s="1052">
        <f>Confronto!E7</f>
      </c>
      <c r="F7" s="1052">
        <f>Confronto!F7</f>
      </c>
      <c r="G7" s="1052">
        <f>Confronto!G7</f>
      </c>
      <c r="H7" s="1052">
        <f>Confronto!H7</f>
      </c>
      <c r="I7" s="1052">
        <f>Confronto!I7</f>
      </c>
      <c r="J7" s="1052">
        <f>Confronto!J7</f>
      </c>
      <c r="K7" s="1052">
        <f>Confronto!K7</f>
      </c>
      <c r="L7" s="1052">
        <f>Confronto!L7</f>
      </c>
      <c r="M7" s="1052">
        <f>Confronto!M7</f>
      </c>
      <c r="N7" s="1052">
        <f>Confronto!N7</f>
      </c>
    </row>
    <row r="8" ht="18" thickBot="1">
      <c r="B8" s="1051" t="s">
        <v>99</v>
      </c>
      <c r="C8" s="1052">
        <f>IF(BASE!$B$15=1,BASE!$AQ$9/1000+SUM(Confronto!$C$4:$N$4,Confronto!$C$9:C9)+SUM(BASE!$AO$3:$AO$15)/1000,"")</f>
      </c>
      <c r="D8" s="1052">
        <f>IF(BASE!$B$16=1,BASE!$AQ$9/1000+SUM(Confronto!$C$4:$N$4,Confronto!$C$9:D9)+SUM(BASE!$AO$3:$AO$16)/1000,"")</f>
      </c>
      <c r="E8" s="1052">
        <f>IF(BASE!$B$17=1,BASE!$AQ$9/1000+SUM(Confronto!$C$4:$N$4,Confronto!$C$9:E9)+SUM(BASE!$AO$3:$AO$17)/1000,"")</f>
      </c>
      <c r="F8" s="1052">
        <f>IF(BASE!$B$18=1,BASE!$AQ$9/1000+SUM(Confronto!$C$4:$N$4,Confronto!$C$9:F9)+SUM(BASE!$AO$3:$AO$18)/1000,"")</f>
      </c>
      <c r="G8" s="1052">
        <f>IF(BASE!$B$19=1,BASE!$AQ$9/1000+SUM(Confronto!$C$4:$N$4,Confronto!$C$9:G9)+SUM(BASE!$AO$3:$AO$19)/1000,"")</f>
      </c>
      <c r="H8" s="1052">
        <f>IF(BASE!$B$20=1,BASE!$AQ$9/1000+SUM(Confronto!$C$4:$N$4,Confronto!$C$9:H9)+SUM(BASE!$AO$3:$AO$20)/1000,"")</f>
      </c>
      <c r="I8" s="1052">
        <f>IF(BASE!$B$21=1,BASE!$AQ$9/1000+SUM(Confronto!$C$4:$N$4,Confronto!$C$9:I9)+SUM(BASE!$AO$3:$AO$21)/1000,"")</f>
      </c>
      <c r="J8" s="1052">
        <f>IF(BASE!$B$22=1,BASE!$AQ$9/1000+SUM(Confronto!$C$4:$N$4,Confronto!$C$9:J9)+SUM(BASE!$AO$3:$AO$22)/1000,"")</f>
      </c>
      <c r="K8" s="1052">
        <f>IF(BASE!$B$23=1,BASE!$AQ$9/1000+SUM(Confronto!$C$4:$N$4,Confronto!$C$9:K9)+SUM(BASE!$AO$3:$AO$23)/1000,"")</f>
      </c>
      <c r="L8" s="1052">
        <f>IF(BASE!$B$24=1,BASE!$AQ$9/1000+SUM(Confronto!$C$4:$N$4,Confronto!$C$9:L9)+SUM(BASE!$AO$3:$AO$24)/1000,"")</f>
      </c>
      <c r="M8" s="1052">
        <f>IF(BASE!$B$25=1,BASE!$AQ$9/1000+SUM(Confronto!$C$4:$N$4,Confronto!$C$9:M9)+SUM(BASE!$AO$3:$AO$25)/1000,"")</f>
      </c>
      <c r="N8" s="1052">
        <f>IF(BASE!$B$26=1,BASE!$AQ$9/1000+SUM(Confronto!$C$4:$N$4,Confronto!$C$9:N9)+SUM(BASE!$AO$3:$AO$26)/1000,"")</f>
      </c>
    </row>
    <row r="9" ht="18" thickBot="1">
      <c r="B9" s="1051" t="s">
        <v>97</v>
      </c>
      <c r="C9" s="1066">
        <f>IF(BASE!$B$15=1,C8-N3,"")</f>
      </c>
      <c r="D9" s="1066">
        <f>IF(BASE!$B$16=1,D8-C8,"")</f>
      </c>
      <c r="E9" s="1066">
        <f>IF(BASE!$B$17=1,E8-D8,"")</f>
      </c>
      <c r="F9" s="1066">
        <f>IF(BASE!$B$18=1,F8-E8,"")</f>
      </c>
      <c r="G9" s="1066">
        <f>IF(BASE!$B$19=1,G8-F8,"")</f>
      </c>
      <c r="H9" s="1066">
        <f>IF(BASE!$B$20=1,H8-G8,"")</f>
      </c>
      <c r="I9" s="1066">
        <f>IF(BASE!$B$21=1,I8-H8,"")</f>
      </c>
      <c r="J9" s="1066">
        <f>IF(BASE!$B$22=1,J8-I8,"")</f>
      </c>
      <c r="K9" s="1066">
        <f>IF(BASE!$B$23=1,K8-J8,"")</f>
      </c>
      <c r="L9" s="1066">
        <f>IF(BASE!$B$24=1,L8-K8,"")</f>
      </c>
      <c r="M9" s="1066">
        <f>IF(BASE!$B$25=1,M8-L8,"")</f>
      </c>
      <c r="N9" s="1066">
        <f>IF(BASE!$B$26=1,N8-M8,"")</f>
      </c>
    </row>
    <row r="10" ht="15" thickBot="1">
      <c r="C10" s="261"/>
      <c r="D10" s="261"/>
      <c r="E10" s="261"/>
      <c r="F10" s="261"/>
      <c r="G10" s="261"/>
      <c r="H10" s="261"/>
      <c r="I10" s="261"/>
      <c r="J10" s="261"/>
      <c r="K10" s="261"/>
      <c r="L10" s="261"/>
    </row>
    <row r="11" ht="18" thickBot="1">
      <c r="B11" s="1050" t="s">
        <v>2</v>
      </c>
      <c r="C11" s="1057">
        <f>BASE!$A$27</f>
      </c>
      <c r="D11" s="1057">
        <f>BASE!$A$28</f>
      </c>
      <c r="E11" s="1057">
        <f>BASE!$A$29</f>
      </c>
      <c r="F11" s="1057">
        <f>BASE!$A$30</f>
      </c>
      <c r="G11" s="1057">
        <f>BASE!$A$31</f>
      </c>
      <c r="H11" s="1057">
        <f>BASE!$A$32</f>
      </c>
      <c r="I11" s="1057">
        <f>BASE!$A$33</f>
      </c>
      <c r="J11" s="1057">
        <f>BASE!$A$34</f>
      </c>
      <c r="K11" s="1057">
        <f>BASE!$A$35</f>
      </c>
      <c r="L11" s="1057">
        <f>BASE!$A$36</f>
      </c>
      <c r="M11" s="1057">
        <f>BASE!$A$37</f>
      </c>
      <c r="N11" s="1057">
        <f>BASE!$A$38</f>
      </c>
    </row>
    <row r="12" ht="18" thickBot="1">
      <c r="B12" s="1051" t="s">
        <v>90</v>
      </c>
      <c r="C12" s="1052">
        <f>Confronto!C12</f>
      </c>
      <c r="D12" s="1052">
        <f>Confronto!D12</f>
      </c>
      <c r="E12" s="1052">
        <f>Confronto!E12</f>
      </c>
      <c r="F12" s="1052">
        <f>Confronto!F12</f>
      </c>
      <c r="G12" s="1052">
        <f>Confronto!G12</f>
      </c>
      <c r="H12" s="1052">
        <f>Confronto!H12</f>
      </c>
      <c r="I12" s="1052">
        <f>Confronto!I12</f>
      </c>
      <c r="J12" s="1052">
        <f>Confronto!J12</f>
      </c>
      <c r="K12" s="1052">
        <f>Confronto!K12</f>
      </c>
      <c r="L12" s="1052">
        <f>Confronto!L12</f>
      </c>
      <c r="M12" s="1052">
        <f>Confronto!M12</f>
      </c>
      <c r="N12" s="1052">
        <f>Confronto!N12</f>
      </c>
    </row>
    <row r="13" ht="18" thickBot="1">
      <c r="B13" s="1051" t="s">
        <v>100</v>
      </c>
      <c r="C13" s="1052">
        <f>IF(BASE!$B$27=1,BASE!$AQ$9/1000+SUM(Confronto!$C$4:$N$4,Confronto!$C$9:$N$9,Confronto!$C$14:C14)+SUM(BASE!$AO$3:$AO$27)/1000,"")</f>
      </c>
      <c r="D13" s="1052">
        <f>IF(BASE!$B$28=1,BASE!$AQ$9/1000+SUM(Confronto!$C$4:$N$4,Confronto!$C$9:$N$9,Confronto!$C$14:D14)+SUM(BASE!$AO$3:$AO$28)/1000,"")</f>
      </c>
      <c r="E13" s="1052">
        <f>IF(BASE!$B$29=1,BASE!$AQ$9/1000+SUM(Confronto!$C$4:$N$4,Confronto!$C$9:$N$9,Confronto!$C$14:E14)+SUM(BASE!$AO$3:$AO$29)/1000,"")</f>
      </c>
      <c r="F13" s="1052">
        <f>IF(BASE!$B$30=1,BASE!$AQ$9/1000+SUM(Confronto!$C$4:$N$4,Confronto!$C$9:$N$9,Confronto!$C$14:F14)+SUM(BASE!$AO$3:$AO$30)/1000,"")</f>
      </c>
      <c r="G13" s="1052">
        <f>IF(BASE!$B$31=1,BASE!$AQ$9/1000+SUM(Confronto!$C$4:$N$4,Confronto!$C$9:$N$9,Confronto!$C$14:G14)+SUM(BASE!$AO$3:$AO$31)/1000,"")</f>
      </c>
      <c r="H13" s="1052">
        <f>IF(BASE!$B$32=1,BASE!$AQ$9/1000+SUM(Confronto!$C$4:$N$4,Confronto!$C$9:$N$9,Confronto!$C$14:H14)+SUM(BASE!$AO$3:$AO$32)/1000,"")</f>
      </c>
      <c r="I13" s="1052">
        <f>IF(BASE!$B$33=1,BASE!$AQ$9/1000+SUM(Confronto!$C$4:$N$4,Confronto!$C$9:$N$9,Confronto!$C$14:I14)+SUM(BASE!$AO$3:$AO$33)/1000,"")</f>
      </c>
      <c r="J13" s="1052">
        <f>IF(BASE!$B$34=1,BASE!$AQ$9/1000+SUM(Confronto!$C$4:$N$4,Confronto!$C$9:$N$9,Confronto!$C$14:J14)+SUM(BASE!$AO$3:$AO$34)/1000,"")</f>
      </c>
      <c r="K13" s="1052">
        <f>IF(BASE!$B$35=1,BASE!$AQ$9/1000+SUM(Confronto!$C$4:$N$4,Confronto!$C$9:$N$9,Confronto!$C$14:K14)+SUM(BASE!$AO$3:$AO$35)/1000,"")</f>
      </c>
      <c r="L13" s="1052">
        <f>IF(BASE!$B$36=1,BASE!$AQ$9/1000+SUM(Confronto!$C$4:$N$4,Confronto!$C$9:$N$9,Confronto!$C$14:L14)+SUM(BASE!$AO$3:$AO$36)/1000,"")</f>
      </c>
      <c r="M13" s="1052">
        <f>IF(BASE!$B$37=1,BASE!$AQ$9/1000+SUM(Confronto!$C$4:$N$4,Confronto!$C$9:$N$9,Confronto!$C$14:M14)+SUM(BASE!$AO$3:$AO$37)/1000,"")</f>
      </c>
      <c r="N13" s="1052">
        <f>IF(BASE!$B$38=1,BASE!$AQ$9/1000+SUM(Confronto!$C$4:$N$4,Confronto!$C$9:$N$9,Confronto!$C$14:N14)+SUM(BASE!$AO$3:$AO$38)/1000,"")</f>
      </c>
    </row>
    <row r="14" ht="18" thickBot="1">
      <c r="B14" s="1051" t="s">
        <v>97</v>
      </c>
      <c r="C14" s="1066">
        <f>IF(BASE!$B$27=1,C13-N8,"")</f>
      </c>
      <c r="D14" s="1066">
        <f>IF(BASE!$B$28=1,D13-C13,"")</f>
      </c>
      <c r="E14" s="1066">
        <f>IF(BASE!$B$29=1,E13-D13,"")</f>
      </c>
      <c r="F14" s="1066">
        <f>IF(BASE!$B$30=1,F13-E13,"")</f>
      </c>
      <c r="G14" s="1066">
        <f>IF(BASE!$B$31=1,G13-F13,"")</f>
      </c>
      <c r="H14" s="1066">
        <f>IF(BASE!$B$32=1,H13-G13,"")</f>
      </c>
      <c r="I14" s="1066">
        <f>IF(BASE!$B$33=1,I13-H13,"")</f>
      </c>
      <c r="J14" s="1066">
        <f>IF(BASE!$B$34=1,J13-I13,"")</f>
      </c>
      <c r="K14" s="1066">
        <f>IF(BASE!$B$35=1,K13-J13,"")</f>
      </c>
      <c r="L14" s="1066">
        <f>IF(BASE!$B$36=1,L13-K13,"")</f>
      </c>
      <c r="M14" s="1066">
        <f>IF(BASE!$B$37=1,M13-L13,"")</f>
      </c>
      <c r="N14" s="1066">
        <f>IF(BASE!$B$38=1,N13-M13,"")</f>
      </c>
    </row>
  </sheetData>
  <phoneticPr fontId="97" type="noConversion"/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1909-5F4B-4303-B111-C2A882CBA680}">
  <dimension ref="B1:O15"/>
  <sheetViews>
    <sheetView showGridLines="0" zoomScaleNormal="100" workbookViewId="0"/>
  </sheetViews>
  <sheetFormatPr defaultRowHeight="14.4"/>
  <cols>
    <col min="2" max="2" width="17.5546875" bestFit="1" customWidth="1"/>
    <col min="3" max="3" width="10.109375" bestFit="1" customWidth="1"/>
    <col min="4" max="4" width="10.33203125" bestFit="1" customWidth="1"/>
    <col min="5" max="5" width="10.44140625" bestFit="1" customWidth="1"/>
    <col min="6" max="6" width="10" bestFit="1" customWidth="1"/>
    <col min="7" max="7" width="10.88671875" bestFit="1" customWidth="1"/>
    <col min="8" max="8" width="10.33203125" bestFit="1" customWidth="1"/>
    <col min="9" max="9" width="9.33203125" bestFit="1" customWidth="1"/>
    <col min="10" max="10" width="10.5546875" bestFit="1" customWidth="1"/>
    <col min="11" max="11" width="10.44140625" bestFit="1" customWidth="1"/>
    <col min="12" max="12" width="9.88671875" bestFit="1" customWidth="1"/>
    <col min="13" max="14" width="10.44140625" bestFit="1" customWidth="1"/>
  </cols>
  <sheetData>
    <row r="1" ht="18" thickBot="1">
      <c r="B1" s="1112" t="s">
        <v>52</v>
      </c>
      <c r="C1" s="1057">
        <f>BASE!$A$3</f>
      </c>
      <c r="D1" s="1057">
        <f>BASE!$A$4</f>
      </c>
      <c r="E1" s="1057">
        <f>BASE!$A$5</f>
      </c>
      <c r="F1" s="1057">
        <f>BASE!$A$6</f>
      </c>
      <c r="G1" s="1057">
        <f>BASE!$A$7</f>
      </c>
      <c r="H1" s="1057">
        <f>BASE!$A$8</f>
      </c>
      <c r="I1" s="1057">
        <f>BASE!$A$9</f>
      </c>
      <c r="J1" s="1057">
        <f>BASE!$A$10</f>
      </c>
      <c r="K1" s="1057">
        <f>BASE!$A$11</f>
      </c>
      <c r="L1" s="1057">
        <f>BASE!$A$12</f>
      </c>
      <c r="M1" s="1057">
        <f>BASE!$A$13</f>
      </c>
      <c r="N1" s="1057">
        <f>BASE!$A$14</f>
      </c>
    </row>
    <row r="2" ht="18" thickBot="1">
      <c r="B2" s="1051" t="s">
        <v>118</v>
      </c>
      <c r="C2" s="1052">
        <f>IF(BASE!$B$3=1,SUM(Confronto!$C$3:C3),"")</f>
      </c>
      <c r="D2" s="1052">
        <f>IF(BASE!$B$4=1,SUM(Confronto!$C$3:D3),"")</f>
      </c>
      <c r="E2" s="1052">
        <f>IF(BASE!$B$5=1,SUM(Confronto!$C$3:E3),"")</f>
      </c>
      <c r="F2" s="1052">
        <f>IF(BASE!$B$6=1,SUM(Confronto!$C$3:F3),"")</f>
      </c>
      <c r="G2" s="1052">
        <f>IF(BASE!$B$7=1,SUM(Confronto!$C$3:G3),"")</f>
      </c>
      <c r="H2" s="1052">
        <f>IF(BASE!$B$8=1,SUM(Confronto!$C$3:H3),"")</f>
      </c>
      <c r="I2" s="1052">
        <f>IF(BASE!$B$9=1,SUM(Confronto!$C$3:I3),"")</f>
      </c>
      <c r="J2" s="1052">
        <f>IF(BASE!$B$10=1,SUM(Confronto!$C$3:J3),"")</f>
      </c>
      <c r="K2" s="1052">
        <f>IF(BASE!$B$11=1,SUM(Confronto!$C$3:K3),"")</f>
      </c>
      <c r="L2" s="1052">
        <f>IF(BASE!$B$12=1,SUM(Confronto!$C$3:L3),"")</f>
      </c>
      <c r="M2" s="1052">
        <f>IF(BASE!$B$13=1,SUM(Confronto!$C$3:M3),"")</f>
      </c>
      <c r="N2" s="1052">
        <f>IF(BASE!$B$14=1,SUM(Confronto!$C$3:N3),"")</f>
      </c>
    </row>
    <row r="3" ht="18" thickBot="1">
      <c r="B3" s="1051" t="s">
        <v>52</v>
      </c>
      <c r="C3" s="1066">
        <f>IF(BASE!$B$3=1,C2,"")</f>
      </c>
      <c r="D3" s="1066">
        <f>IF(BASE!$B$4=1,D2-C2,"")</f>
      </c>
      <c r="E3" s="1066">
        <f>IF(BASE!$B$5=1,E2-D2,"")</f>
      </c>
      <c r="F3" s="1066">
        <f>IF(BASE!$B$6=1,F2-E2,"")</f>
      </c>
      <c r="G3" s="1066">
        <f>IF(BASE!$B$7=1,G2-F2,"")</f>
      </c>
      <c r="H3" s="1066">
        <f>IF(BASE!$B$8=1,H2-G2,"")</f>
      </c>
      <c r="I3" s="1066">
        <f>IF(BASE!$B$9=1,I2-H2,"")</f>
      </c>
      <c r="J3" s="1066">
        <f>IF(BASE!$B$10=1,J2-I2,"")</f>
      </c>
      <c r="K3" s="1066">
        <f>IF(BASE!$B$11=1,K2-J2,"")</f>
      </c>
      <c r="L3" s="1066">
        <f>IF(BASE!$B$12=1,L2-K2,"")</f>
      </c>
      <c r="M3" s="1066">
        <f>IF(BASE!$B$13=1,M2-L2,"")</f>
      </c>
      <c r="N3" s="1066">
        <f>IF(BASE!$B$14=1,N2-M2,"")</f>
      </c>
    </row>
    <row r="4" ht="17.399999999999999" customHeight="1" thickBot="1">
      <c r="B4" s="1051" t="s">
        <v>45</v>
      </c>
      <c r="C4" s="1066" t="s">
        <v>119</v>
      </c>
      <c r="D4" s="1066">
        <f>IF(BASE!$B$4=1,D3-C3,"")</f>
      </c>
      <c r="E4" s="1066">
        <f>IF(BASE!$B$5=1,E3-D3,"")</f>
      </c>
      <c r="F4" s="1066">
        <f>IF(BASE!$B$6=1,F3-E3,"")</f>
      </c>
      <c r="G4" s="1066">
        <f>IF(BASE!$B$7=1,G3-F3,"")</f>
      </c>
      <c r="H4" s="1066">
        <f>IF(BASE!$B$8=1,H3-G3,"")</f>
      </c>
      <c r="I4" s="1066">
        <f>IF(BASE!$B$9=1,I3-H3,"")</f>
      </c>
      <c r="J4" s="1066">
        <f>IF(BASE!$B$10=1,J3-I3,"")</f>
      </c>
      <c r="K4" s="1066">
        <f>IF(BASE!$B$11=1,K3-J3,"")</f>
      </c>
      <c r="L4" s="1066">
        <f>IF(BASE!$B$12=1,L3-K3,"")</f>
      </c>
      <c r="M4" s="1066">
        <f>IF(BASE!$B$13=1,M3-L3,"")</f>
      </c>
      <c r="N4" s="1066">
        <f>IF(BASE!$B$14=1,N3-M3,"")</f>
      </c>
    </row>
    <row r="5" ht="15" thickBot="1"/>
    <row r="6" ht="18" thickBot="1">
      <c r="B6" s="1112" t="s">
        <v>52</v>
      </c>
      <c r="C6" s="1057">
        <f>BASE!$A$15</f>
      </c>
      <c r="D6" s="1057">
        <f>BASE!$A$16</f>
      </c>
      <c r="E6" s="1057">
        <f>BASE!$A$17</f>
      </c>
      <c r="F6" s="1057">
        <f>BASE!$A$18</f>
      </c>
      <c r="G6" s="1057">
        <f>BASE!$A$19</f>
      </c>
      <c r="H6" s="1057">
        <f>BASE!$A$20</f>
      </c>
      <c r="I6" s="1057">
        <f>BASE!$A$21</f>
      </c>
      <c r="J6" s="1057">
        <f>BASE!$A$22</f>
      </c>
      <c r="K6" s="1057">
        <f>BASE!$A$23</f>
      </c>
      <c r="L6" s="1057">
        <f>BASE!$A$24</f>
      </c>
      <c r="M6" s="1057">
        <f>BASE!$A$25</f>
      </c>
      <c r="N6" s="1057">
        <f>BASE!$A$26</f>
      </c>
    </row>
    <row r="7" ht="18" thickBot="1">
      <c r="B7" s="1051" t="s">
        <v>118</v>
      </c>
      <c r="C7" s="1052">
        <f>IF(BASE!$B$15=1,SUM(Confronto!$C$8:C8),"")</f>
      </c>
      <c r="D7" s="1052">
        <f>IF(BASE!$B$16=1,SUM(Confronto!$C$8:D8),"")</f>
      </c>
      <c r="E7" s="1052">
        <f>IF(BASE!$B$17=1,SUM(Confronto!$C$8:E8),"")</f>
      </c>
      <c r="F7" s="1052">
        <f>IF(BASE!$B$18=1,SUM(Confronto!$C$8:F8),"")</f>
      </c>
      <c r="G7" s="1052">
        <f>IF(BASE!$B$19=1,SUM(Confronto!$C$8:G8),"")</f>
      </c>
      <c r="H7" s="1052">
        <f>IF(BASE!$B$20=1,SUM(Confronto!$C$8:H8),"")</f>
      </c>
      <c r="I7" s="1052">
        <f>IF(BASE!$B$21=1,SUM(Confronto!$C$8:I8),"")</f>
      </c>
      <c r="J7" s="1052">
        <f>IF(BASE!$B$22=1,SUM(Confronto!$C$8:J8),"")</f>
      </c>
      <c r="K7" s="1052">
        <f>IF(BASE!$B$23=1,SUM(Confronto!$C$8:K8),"")</f>
      </c>
      <c r="L7" s="1052">
        <f>IF(BASE!$B$24=1,SUM(Confronto!$C$8:L8),"")</f>
      </c>
      <c r="M7" s="1052">
        <f>IF(BASE!$B$25=1,SUM(Confronto!$C$8:M8),"")</f>
      </c>
      <c r="N7" s="1052">
        <f>IF(BASE!$B$26=1,SUM(Confronto!$C$8:N8),"")</f>
      </c>
    </row>
    <row r="8" ht="17.399999999999999" customHeight="1" thickBot="1">
      <c r="B8" s="1051" t="s">
        <v>52</v>
      </c>
      <c r="C8" s="1066">
        <f>IF(BASE!$B$15=1,C7,"")</f>
      </c>
      <c r="D8" s="1066">
        <f>IF(BASE!$B$16=1,D7-C7,"")</f>
      </c>
      <c r="E8" s="1066">
        <f>IF(BASE!$B$17=1,E7-D7,"")</f>
      </c>
      <c r="F8" s="1066">
        <f>IF(BASE!$B$18=1,F7-E7,"")</f>
      </c>
      <c r="G8" s="1066">
        <f>IF(BASE!$B$19=1,G7-F7,"")</f>
      </c>
      <c r="H8" s="1066">
        <f>IF(BASE!$B$20=1,H7-G7,"")</f>
      </c>
      <c r="I8" s="1066">
        <f>IF(BASE!$B$21=1,I7-H7,"")</f>
      </c>
      <c r="J8" s="1066">
        <f>IF(BASE!$B$22=1,J7-I7,"")</f>
      </c>
      <c r="K8" s="1066">
        <f>IF(BASE!$B$23=1,K7-J7,"")</f>
      </c>
      <c r="L8" s="1066">
        <f>IF(BASE!$B$24=1,L7-K7,"")</f>
      </c>
      <c r="M8" s="1066">
        <f>IF(BASE!$B$25=1,M7-L7,"")</f>
      </c>
      <c r="N8" s="1066">
        <f>IF(BASE!$B$26=1,N7-M7,"")</f>
      </c>
    </row>
    <row r="9" ht="17.399999999999999" customHeight="1" thickBot="1">
      <c r="B9" s="1051" t="s">
        <v>45</v>
      </c>
      <c r="C9" s="1066">
        <f>IF(BASE!$B$15=1,C8-N3,"")</f>
      </c>
      <c r="D9" s="1066">
        <f>IF(BASE!$B$16=1,D8-C8,"")</f>
      </c>
      <c r="E9" s="1066">
        <f>IF(BASE!$B$17=1,E8-D8,"")</f>
      </c>
      <c r="F9" s="1066">
        <f>IF(BASE!$B$18=1,F8-E8,"")</f>
      </c>
      <c r="G9" s="1066">
        <f>IF(BASE!$B$19=1,G8-F8,"")</f>
      </c>
      <c r="H9" s="1066">
        <f>IF(BASE!$B$20=1,H8-G8,"")</f>
      </c>
      <c r="I9" s="1066">
        <f>IF(BASE!$B$21=1,I8-H8,"")</f>
      </c>
      <c r="J9" s="1066">
        <f>IF(BASE!$B$22=1,J8-I8,"")</f>
      </c>
      <c r="K9" s="1066">
        <f>IF(BASE!$B$23=1,K8-J8,"")</f>
      </c>
      <c r="L9" s="1066">
        <f>IF(BASE!$B$24=1,L8-K8,"")</f>
      </c>
      <c r="M9" s="1066">
        <f>IF(BASE!$B$25=1,M8-L8,"")</f>
      </c>
      <c r="N9" s="1066">
        <f>IF(BASE!$B$26=1,N8-M8,"")</f>
      </c>
    </row>
    <row r="10" ht="15" thickBot="1">
      <c r="M10" s="261"/>
    </row>
    <row r="11" ht="18" thickBot="1">
      <c r="B11" s="1112" t="s">
        <v>52</v>
      </c>
      <c r="C11" s="1057">
        <f>BASE!$A$27</f>
      </c>
      <c r="D11" s="1057">
        <f>BASE!$A$28</f>
      </c>
      <c r="E11" s="1057">
        <f>BASE!$A$29</f>
      </c>
      <c r="F11" s="1057">
        <f>BASE!$A$30</f>
      </c>
      <c r="G11" s="1057">
        <f>BASE!$A$31</f>
      </c>
      <c r="H11" s="1057">
        <f>BASE!$A$32</f>
      </c>
      <c r="I11" s="1057">
        <f>BASE!$A$33</f>
      </c>
      <c r="J11" s="1057">
        <f>BASE!$A$34</f>
      </c>
      <c r="K11" s="1057">
        <f>BASE!$A$35</f>
      </c>
      <c r="L11" s="1057">
        <f>BASE!$A$36</f>
      </c>
      <c r="M11" s="1057">
        <f>BASE!$A$37</f>
      </c>
      <c r="N11" s="1057">
        <f>BASE!$A$38</f>
      </c>
    </row>
    <row r="12" ht="18" thickBot="1">
      <c r="B12" s="1051" t="s">
        <v>118</v>
      </c>
      <c r="C12" s="1052">
        <f>IF(BASE!$B$27=1,SUM(Confronto!$C$13:C13),"")</f>
      </c>
      <c r="D12" s="1052">
        <f>IF(BASE!$B$28=1,SUM(Confronto!$C$13:D13),"")</f>
      </c>
      <c r="E12" s="1052">
        <f>IF(BASE!$B$29=1,SUM(Confronto!$C$13:E13),"")</f>
      </c>
      <c r="F12" s="1052">
        <f>IF(BASE!$B$30=1,SUM(Confronto!$C$13:F13),"")</f>
      </c>
      <c r="G12" s="1052">
        <f>IF(BASE!$B$31=1,SUM(Confronto!$C$13:G13),"")</f>
      </c>
      <c r="H12" s="1052">
        <f>IF(BASE!$B$32=1,SUM(Confronto!$C$13:H13),"")</f>
      </c>
      <c r="I12" s="1052">
        <f>IF(BASE!$B$33=1,SUM(Confronto!$C$13:I13),"")</f>
      </c>
      <c r="J12" s="1052">
        <f>IF(BASE!$B$34=1,SUM(Confronto!$C$13:J13),"")</f>
      </c>
      <c r="K12" s="1052">
        <f>IF(BASE!$B$35=1,SUM(Confronto!$C$13:K13),"")</f>
      </c>
      <c r="L12" s="1052">
        <f>IF(BASE!$B$36=1,SUM(Confronto!$C$13:L13),"")</f>
      </c>
      <c r="M12" s="1052">
        <f>IF(BASE!$B$37=1,SUM(Confronto!$C$13:M13),"")</f>
      </c>
      <c r="N12" s="1052">
        <f>IF(BASE!$B$38=1,SUM(Confronto!$C$13:N13),"")</f>
      </c>
    </row>
    <row r="13" ht="18" thickBot="1">
      <c r="B13" s="1051" t="s">
        <v>52</v>
      </c>
      <c r="C13" s="1066">
        <f>IF(BASE!$B$27=1,C12,"")</f>
      </c>
      <c r="D13" s="1066">
        <f>IF(BASE!$B$28=1,D12-C12,"")</f>
      </c>
      <c r="E13" s="1066">
        <f>IF(BASE!$B$29=1,E12-D12,"")</f>
      </c>
      <c r="F13" s="1066">
        <f>IF(BASE!$B$30=1,F12-E12,"")</f>
      </c>
      <c r="G13" s="1066">
        <f>IF(BASE!$B$31=1,G12-F12,"")</f>
      </c>
      <c r="H13" s="1066">
        <f>IF(BASE!$B$32=1,H12-G12,"")</f>
      </c>
      <c r="I13" s="1066">
        <f>IF(BASE!$B$33=1,I12-H12,"")</f>
      </c>
      <c r="J13" s="1066">
        <f>IF(BASE!$B$34=1,J12-I12,"")</f>
      </c>
      <c r="K13" s="1066">
        <f>IF(BASE!$B$35=1,K12-J12,"")</f>
      </c>
      <c r="L13" s="1066">
        <f>IF(BASE!$B$36=1,L12-K12,"")</f>
      </c>
      <c r="M13" s="1066">
        <f>IF(BASE!$B$37=1,M12-L12,"")</f>
      </c>
      <c r="N13" s="1066">
        <f>IF(BASE!$B$38=1,N12-M12,"")</f>
      </c>
      <c r="O13" s="261"/>
    </row>
    <row r="14" ht="18" thickBot="1">
      <c r="B14" s="1051" t="s">
        <v>45</v>
      </c>
      <c r="C14" s="1066">
        <f>IF(BASE!$B$27=1,C13-N8,"")</f>
      </c>
      <c r="D14" s="1066">
        <f>IF(BASE!$B$28=1,D13-C13,"")</f>
      </c>
      <c r="E14" s="1066">
        <f>IF(BASE!$B$29=1,E13-D13,"")</f>
      </c>
      <c r="F14" s="1066">
        <f>IF(BASE!$B$30=1,F13-E13,"")</f>
      </c>
      <c r="G14" s="1066">
        <f>IF(BASE!$B$31=1,G13-F13,"")</f>
      </c>
      <c r="H14" s="1066">
        <f>IF(BASE!$B$32=1,H13-G13,"")</f>
      </c>
      <c r="I14" s="1066">
        <f>IF(BASE!$B$33=1,I13-H13,"")</f>
      </c>
      <c r="J14" s="1066">
        <f>IF(BASE!$B$34=1,J13-I13,"")</f>
      </c>
      <c r="K14" s="1066">
        <f>IF(BASE!$B$35=1,K13-J13,"")</f>
      </c>
      <c r="L14" s="1066">
        <f>IF(BASE!$B$36=1,L13-K13,"")</f>
      </c>
      <c r="M14" s="1066">
        <f>IF(BASE!$B$37=1,M13-L13,"")</f>
      </c>
      <c r="N14" s="1066">
        <f>IF(BASE!$B$38=1,N13-M13,"")</f>
      </c>
      <c r="O14" s="261"/>
    </row>
    <row r="15">
      <c r="D15" s="261"/>
    </row>
  </sheetData>
  <phoneticPr fontId="97" type="noConversion"/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92F0-0994-4FC1-A145-6A6888911519}">
  <dimension ref="A1:Q46"/>
  <sheetViews>
    <sheetView showGridLines="0" zoomScale="85" zoomScaleNormal="85" workbookViewId="0"/>
  </sheetViews>
  <sheetFormatPr defaultRowHeight="14.4" outlineLevelCol="1"/>
  <cols>
    <col min="1" max="2" width="3.88671875" hidden="1" customWidth="1" outlineLevel="1"/>
    <col min="3" max="3" width="3.88671875" customWidth="1" collapsed="1"/>
    <col min="4" max="4" width="14.6640625" bestFit="1" customWidth="1"/>
    <col min="5" max="5" width="11" bestFit="1" customWidth="1"/>
    <col min="6" max="6" width="10.88671875" bestFit="1" customWidth="1"/>
    <col min="7" max="7" width="11.6640625" bestFit="1" customWidth="1"/>
    <col min="8" max="8" width="11.109375" bestFit="1" customWidth="1"/>
    <col min="9" max="9" width="11.5546875" bestFit="1" customWidth="1"/>
    <col min="10" max="10" width="11" bestFit="1" customWidth="1"/>
    <col min="11" max="11" width="10.44140625" bestFit="1" customWidth="1"/>
    <col min="12" max="12" width="11.5546875" bestFit="1" customWidth="1"/>
    <col min="13" max="13" width="10.6640625" bestFit="1" customWidth="1"/>
    <col min="14" max="14" width="11" bestFit="1" customWidth="1"/>
    <col min="15" max="16" width="11.44140625" bestFit="1" customWidth="1"/>
    <col min="17" max="17" width="11.5546875" bestFit="1" customWidth="1"/>
  </cols>
  <sheetData>
    <row r="1" hidden="1"/>
    <row r="2" hidden="1">
      <c r="D2" s="1060" t="s">
        <v>72</v>
      </c>
      <c r="E2" s="1060" t="s">
        <v>73</v>
      </c>
      <c r="F2" s="1060" t="s">
        <v>74</v>
      </c>
      <c r="G2" s="1060" t="s">
        <v>75</v>
      </c>
      <c r="H2" s="1060" t="s">
        <v>76</v>
      </c>
      <c r="I2" s="1060" t="s">
        <v>77</v>
      </c>
      <c r="J2" s="1060" t="s">
        <v>78</v>
      </c>
      <c r="K2" s="1060" t="s">
        <v>79</v>
      </c>
      <c r="L2" s="1060" t="s">
        <v>80</v>
      </c>
      <c r="M2" s="1060" t="s">
        <v>81</v>
      </c>
      <c r="N2" s="1060" t="s">
        <v>82</v>
      </c>
      <c r="O2" s="1060" t="s">
        <v>83</v>
      </c>
      <c r="P2" s="1060" t="s">
        <v>84</v>
      </c>
      <c r="Q2" s="1064" t="s">
        <v>87</v>
      </c>
    </row>
    <row r="3" hidden="1">
      <c r="D3" s="1061">
        <f>BASE!$AP$12</f>
      </c>
      <c r="E3" s="1059">
        <f>IF(BASE!$B$15=1,BASE!$AG$15/1000,"")</f>
      </c>
      <c r="F3" s="1059">
        <f>IF(BASE!$B$16=1,BASE!$AG$16/1000,"")</f>
      </c>
      <c r="G3" s="1059">
        <f>IF(BASE!$B$17=1,BASE!$AG$17/1000,"")</f>
      </c>
      <c r="H3" s="1059">
        <f>IF(BASE!$B$18=1,BASE!$AG$18/1000,"")</f>
      </c>
      <c r="I3" s="1059">
        <f>IF(BASE!$B$19=1,BASE!$AG$19/1000,"")</f>
      </c>
      <c r="J3" s="1059">
        <f>IF(BASE!$B$20=1,BASE!$AG$20/1000,"")</f>
      </c>
      <c r="K3" s="1059">
        <f>IF(BASE!$B$21=1,BASE!$AG$21/1000,"")</f>
      </c>
      <c r="L3" s="1059">
        <f>IF(BASE!$B$22=1,BASE!$AG$22/1000,"")</f>
      </c>
      <c r="M3" s="1059">
        <f>IF(BASE!$B$23=1,BASE!$AG$23/1000,"")</f>
      </c>
      <c r="N3" s="1059">
        <f>IF(BASE!$B$24=1,BASE!$AG$24/1000,"")</f>
      </c>
      <c r="O3" s="1059">
        <f>IF(BASE!$B$25=1,BASE!$AG$25/1000,"")</f>
      </c>
      <c r="P3" s="1059">
        <f>IF(BASE!$B$26=1,BASE!$AG$26/1000,"")</f>
      </c>
      <c r="Q3" s="1065">
        <f>IFERROR(LOOKUP(2,1/(ISNUMBER(E3:P3)*(E3:P3&lt;&gt;0)),E3:P3),0)</f>
      </c>
    </row>
    <row r="4" hidden="1">
      <c r="D4" s="1061">
        <f>BASE!$AP$13</f>
      </c>
      <c r="E4" s="1059">
        <f>IF(BASE!$B$15=1,BASE!$AH$15/1000,"")</f>
      </c>
      <c r="F4" s="1059">
        <f>IF(BASE!$B$16=1,BASE!$AH$16/1000,"")</f>
      </c>
      <c r="G4" s="1059">
        <f>IF(BASE!$B$17=1,BASE!$AH$17/1000,"")</f>
      </c>
      <c r="H4" s="1059">
        <f>IF(BASE!$B$18=1,BASE!$AH$18/1000,"")</f>
      </c>
      <c r="I4" s="1059">
        <f>IF(BASE!$B$19=1,BASE!$AH$19/1000,"")</f>
      </c>
      <c r="J4" s="1059">
        <f>IF(BASE!$B$20=1,BASE!$AH$20/1000,"")</f>
      </c>
      <c r="K4" s="1059">
        <f>IF(BASE!$B$21=1,BASE!$AH$21/1000,"")</f>
      </c>
      <c r="L4" s="1059">
        <f>IF(BASE!$B$22=1,BASE!$AH$22/1000,"")</f>
      </c>
      <c r="M4" s="1059">
        <f>IF(BASE!$B$23=1,BASE!$AH$23/1000,"")</f>
      </c>
      <c r="N4" s="1059">
        <f>IF(BASE!$B$24=1,BASE!$AH$24/1000,"")</f>
      </c>
      <c r="O4" s="1059">
        <f>IF(BASE!$B$25=1,BASE!$AH$25/1000,"")</f>
      </c>
      <c r="P4" s="1059">
        <f>IF(BASE!$B$26=1,BASE!$AH$26/1000,"")</f>
      </c>
      <c r="Q4" s="1065">
        <f>IFERROR(LOOKUP(2,1/(ISNUMBER(E4:P4)*(E4:P4&lt;&gt;0)),E4:P4),0)</f>
      </c>
    </row>
    <row r="5" hidden="1">
      <c r="D5" s="1061">
        <f>BASE!$AP$14</f>
      </c>
      <c r="E5" s="1059">
        <f>IF(BASE!$B$15=1,BASE!$AI$15/1000,"")</f>
      </c>
      <c r="F5" s="1059">
        <f>IF(BASE!$B$16=1,BASE!$AI$16/1000,"")</f>
      </c>
      <c r="G5" s="1059">
        <f>IF(BASE!$B$17=1,BASE!$AI$17/1000,"")</f>
      </c>
      <c r="H5" s="1059">
        <f>IF(BASE!$B$18=1,BASE!$AI$18/1000,"")</f>
      </c>
      <c r="I5" s="1059">
        <f>IF(BASE!$B$19=1,BASE!$AI$19/1000,"")</f>
      </c>
      <c r="J5" s="1059">
        <f>IF(BASE!$B$20=1,BASE!$AI$20/1000,"")</f>
      </c>
      <c r="K5" s="1059">
        <f>IF(BASE!$B$21=1,BASE!$AI$21/1000,"")</f>
      </c>
      <c r="L5" s="1059">
        <f>IF(BASE!$B$22=1,BASE!$AI$22/1000,"")</f>
      </c>
      <c r="M5" s="1059">
        <f>IF(BASE!$B$23=1,BASE!$AI$23/1000,"")</f>
      </c>
      <c r="N5" s="1059">
        <f>IF(BASE!$B$24=1,BASE!$AI$24/1000,"")</f>
      </c>
      <c r="O5" s="1059">
        <f>IF(BASE!$B$25=1,BASE!$AI$25/1000,"")</f>
      </c>
      <c r="P5" s="1059">
        <f>IF(BASE!$B$26=1,BASE!$AI$26/1000,"")</f>
      </c>
      <c r="Q5" s="1065">
        <f>IFERROR(LOOKUP(2,1/(ISNUMBER(E5:P5)*(E5:P5&lt;&gt;0)),E5:P5),0)</f>
      </c>
    </row>
    <row r="6" hidden="1">
      <c r="D6" s="1061">
        <f>BASE!$AP$15</f>
      </c>
      <c r="E6" s="1059">
        <f>IF(BASE!$B$15=1,BASE!$AJ$15/1000,"")</f>
      </c>
      <c r="F6" s="1059">
        <f>IF(BASE!$B$16=1,BASE!$AJ$16/1000,"")</f>
      </c>
      <c r="G6" s="1059">
        <f>IF(BASE!$B$17=1,BASE!$AJ$17/1000,"")</f>
      </c>
      <c r="H6" s="1059">
        <f>IF(BASE!$B$18=1,BASE!$AJ$18/1000,"")</f>
      </c>
      <c r="I6" s="1059">
        <f>IF(BASE!$B$19=1,BASE!$AJ$19/1000,"")</f>
      </c>
      <c r="J6" s="1059">
        <f>IF(BASE!$B$20=1,BASE!$AJ$20/1000,"")</f>
      </c>
      <c r="K6" s="1059">
        <f>IF(BASE!$B$21=1,BASE!$AJ$21/1000,"")</f>
      </c>
      <c r="L6" s="1059">
        <f>IF(BASE!$B$22=1,BASE!$AJ$22/1000,"")</f>
      </c>
      <c r="M6" s="1059">
        <f>IF(BASE!$B$23=1,BASE!$AJ$23/1000,"")</f>
      </c>
      <c r="N6" s="1059">
        <f>IF(BASE!$B$24=1,BASE!$AJ$24/1000,"")</f>
      </c>
      <c r="O6" s="1059">
        <f>IF(BASE!$B$25=1,BASE!$AJ$25/1000,"")</f>
      </c>
      <c r="P6" s="1059">
        <f>IF(BASE!$B$26=1,BASE!$AJ$26/1000,"")</f>
      </c>
      <c r="Q6" s="1065">
        <f>IFERROR(LOOKUP(2,1/(ISNUMBER(E6:P6)*(E6:P6&lt;&gt;0)),E6:P6),0)</f>
      </c>
    </row>
    <row r="7" hidden="1">
      <c r="D7" s="1063" t="s">
        <v>2</v>
      </c>
      <c r="E7" s="1062">
        <f>SUM(E3:E6)</f>
      </c>
      <c r="F7" s="1062">
        <f>SUM(F3:F6)</f>
      </c>
      <c r="G7" s="1062">
        <f>SUM(G3:G6)</f>
      </c>
      <c r="H7" s="1062">
        <f>SUM(H3:H6)</f>
      </c>
      <c r="I7" s="1062">
        <f>SUM(I3:I6)</f>
      </c>
      <c r="J7" s="1062">
        <f>SUM(J3:J6)</f>
      </c>
      <c r="K7" s="1062">
        <f>SUM(K3:K6)</f>
      </c>
      <c r="L7" s="1062">
        <f>SUM(L3:L6)</f>
      </c>
      <c r="M7" s="1062">
        <f>SUM(M3:M6)</f>
      </c>
      <c r="N7" s="1062">
        <f>SUM(N3:N6)</f>
      </c>
      <c r="O7" s="1062">
        <f>SUM(O3:O6)</f>
      </c>
      <c r="P7" s="1062">
        <f>SUM(P3:P6)</f>
      </c>
      <c r="Q7" s="1062">
        <f>SUM(Q3:Q6)</f>
      </c>
    </row>
    <row r="8" hidden="1"/>
    <row r="9" hidden="1"/>
    <row r="10" hidden="1">
      <c r="D10" s="1060" t="s">
        <v>72</v>
      </c>
      <c r="E10" s="1060" t="s">
        <v>73</v>
      </c>
      <c r="F10" s="1060" t="s">
        <v>74</v>
      </c>
      <c r="G10" s="1060" t="s">
        <v>75</v>
      </c>
      <c r="H10" s="1060" t="s">
        <v>76</v>
      </c>
      <c r="I10" s="1060" t="s">
        <v>77</v>
      </c>
      <c r="J10" s="1060" t="s">
        <v>78</v>
      </c>
      <c r="K10" s="1060" t="s">
        <v>79</v>
      </c>
      <c r="L10" s="1060" t="s">
        <v>80</v>
      </c>
      <c r="M10" s="1060" t="s">
        <v>81</v>
      </c>
      <c r="N10" s="1060" t="s">
        <v>82</v>
      </c>
      <c r="O10" s="1060" t="s">
        <v>83</v>
      </c>
      <c r="P10" s="1060" t="s">
        <v>84</v>
      </c>
      <c r="Q10" s="1064" t="s">
        <v>88</v>
      </c>
    </row>
    <row r="11" hidden="1">
      <c r="A11" t="s">
        <v>85</v>
      </c>
      <c r="B11" t="s">
        <v>86</v>
      </c>
      <c r="D11" s="1061">
        <f>BASE!$AP$12</f>
      </c>
      <c r="E11" s="1059">
        <f>IF(BASE!$B$15=1,BASE!$AK$15/1000,"")</f>
      </c>
      <c r="F11" s="1059">
        <f>IF(BASE!$B$16=1,BASE!$AK$16/1000,"")</f>
      </c>
      <c r="G11" s="1059">
        <f>IF(BASE!$B$17=1,BASE!$AK$17/1000,"")</f>
      </c>
      <c r="H11" s="1059">
        <f>IF(BASE!$B$18=1,BASE!$AK$18/1000,"")</f>
      </c>
      <c r="I11" s="1059">
        <f>IF(BASE!$B$19=1,BASE!$AK$19/1000,"")</f>
      </c>
      <c r="J11" s="1059">
        <f>IF(BASE!$B$20=1,BASE!$AK$20/1000,"")</f>
      </c>
      <c r="K11" s="1059">
        <f>IF(BASE!$B$21=1,BASE!$AK$21/1000,"")</f>
      </c>
      <c r="L11" s="1059">
        <f>IF(BASE!$B$22=1,BASE!$AK$22/1000,"")</f>
      </c>
      <c r="M11" s="1059">
        <f>IF(BASE!$B$23=1,BASE!$AK$23/1000,"")</f>
      </c>
      <c r="N11" s="1059">
        <f>IF(BASE!$B$24=1,BASE!$AK$24/1000,"")</f>
      </c>
      <c r="O11" s="1059">
        <f>IF(BASE!$B$25=1,BASE!$AK$25/1000,"")</f>
      </c>
      <c r="P11" s="1059">
        <f>IF(BASE!$B$26=1,BASE!$AK$26/1000,"")</f>
      </c>
      <c r="Q11" s="1065">
        <f>SUM(E11:P11)</f>
      </c>
    </row>
    <row r="12" hidden="1">
      <c r="D12" s="1061">
        <f>BASE!$AP$13</f>
      </c>
      <c r="E12" s="1059">
        <f>IF(BASE!$B$15=1,BASE!$AL$15/1000,"")</f>
      </c>
      <c r="F12" s="1059">
        <f>IF(BASE!$B$16=1,BASE!$AL$16/1000,"")</f>
      </c>
      <c r="G12" s="1059">
        <f>IF(BASE!$B$17=1,BASE!$AL$17/1000,"")</f>
      </c>
      <c r="H12" s="1059">
        <f>IF(BASE!$B$18=1,BASE!$AL$18/1000,"")</f>
      </c>
      <c r="I12" s="1059">
        <f>IF(BASE!$B$19=1,BASE!$AL$19/1000,"")</f>
      </c>
      <c r="J12" s="1059">
        <f>IF(BASE!$B$20=1,BASE!$AL$20/1000,"")</f>
      </c>
      <c r="K12" s="1059">
        <f>IF(BASE!$B$21=1,BASE!$AL$21/1000,"")</f>
      </c>
      <c r="L12" s="1059">
        <f>IF(BASE!$B$22=1,BASE!$AL$22/1000,"")</f>
      </c>
      <c r="M12" s="1059">
        <f>IF(BASE!$B$23=1,BASE!$AL$23/1000,"")</f>
      </c>
      <c r="N12" s="1059">
        <f>IF(BASE!$B$24=1,BASE!$AL$24/1000,"")</f>
      </c>
      <c r="O12" s="1059">
        <f>IF(BASE!$B$25=1,BASE!$AL$25/1000,"")</f>
      </c>
      <c r="P12" s="1059">
        <f>IF(BASE!$B$26=1,BASE!$AL$26/1000,"")</f>
      </c>
      <c r="Q12" s="1065">
        <f>SUM(E12:P12)</f>
      </c>
    </row>
    <row r="13" hidden="1">
      <c r="D13" s="1061">
        <f>BASE!$AP$14</f>
      </c>
      <c r="E13" s="1059">
        <f>IF(BASE!$B$15=1,BASE!$AM$15/1000,"")</f>
      </c>
      <c r="F13" s="1059">
        <f>IF(BASE!$B$16=1,BASE!$AM$16/1000,"")</f>
      </c>
      <c r="G13" s="1059">
        <f>IF(BASE!$B$17=1,BASE!$AM$17/1000,"")</f>
      </c>
      <c r="H13" s="1059">
        <f>IF(BASE!$B$18=1,BASE!$AM$18/1000,"")</f>
      </c>
      <c r="I13" s="1059">
        <f>IF(BASE!$B$19=1,BASE!$AM$19/1000,"")</f>
      </c>
      <c r="J13" s="1059">
        <f>IF(BASE!$B$20=1,BASE!$AM$20/1000,"")</f>
      </c>
      <c r="K13" s="1059">
        <f>IF(BASE!$B$21=1,BASE!$AM$21/1000,"")</f>
      </c>
      <c r="L13" s="1059">
        <f>IF(BASE!$B$22=1,BASE!$AM$22/1000,"")</f>
      </c>
      <c r="M13" s="1059">
        <f>IF(BASE!$B$23=1,BASE!$AM$23/1000,"")</f>
      </c>
      <c r="N13" s="1059">
        <f>IF(BASE!$B$24=1,BASE!$AM$24/1000,"")</f>
      </c>
      <c r="O13" s="1059">
        <f>IF(BASE!$B$25=1,BASE!$AM$25/1000,"")</f>
      </c>
      <c r="P13" s="1059">
        <f>IF(BASE!$B$26=1,BASE!$AM$26/1000,"")</f>
      </c>
      <c r="Q13" s="1065">
        <f>SUM(E13:P13)</f>
      </c>
    </row>
    <row r="14" hidden="1">
      <c r="D14" s="1061">
        <f>BASE!$AP$15</f>
      </c>
      <c r="E14" s="1059">
        <f>IF(BASE!$B$15=1,BASE!$AN$15/1000,"")</f>
      </c>
      <c r="F14" s="1059">
        <f>IF(BASE!$B$16=1,BASE!$AN$16/1000,"")</f>
      </c>
      <c r="G14" s="1059">
        <f>IF(BASE!$B$17=1,BASE!$AN$17/1000,"")</f>
      </c>
      <c r="H14" s="1059">
        <f>IF(BASE!$B$18=1,BASE!$AN$18/1000,"")</f>
      </c>
      <c r="I14" s="1059">
        <f>IF(BASE!$B$19=1,BASE!$AN$19/1000,"")</f>
      </c>
      <c r="J14" s="1059">
        <f>IF(BASE!$B$20=1,BASE!$AN$20/1000,"")</f>
      </c>
      <c r="K14" s="1059">
        <f>IF(BASE!$B$21=1,BASE!$AN$21/1000,"")</f>
      </c>
      <c r="L14" s="1059">
        <f>IF(BASE!$B$22=1,BASE!$AN$22/1000,"")</f>
      </c>
      <c r="M14" s="1059">
        <f>IF(BASE!$B$23=1,BASE!$AN$23/1000,"")</f>
      </c>
      <c r="N14" s="1059">
        <f>IF(BASE!$B$24=1,BASE!$AN$24/1000,"")</f>
      </c>
      <c r="O14" s="1059">
        <f>IF(BASE!$B$25=1,BASE!$AN$25/1000,"")</f>
      </c>
      <c r="P14" s="1059">
        <f>IF(BASE!$B$26=1,BASE!$AN$26/1000,"")</f>
      </c>
      <c r="Q14" s="1065">
        <f>SUM(E14:P14)</f>
      </c>
    </row>
    <row r="15" hidden="1">
      <c r="D15" s="1063" t="s">
        <v>2</v>
      </c>
      <c r="E15" s="1062">
        <f>SUM(E11:E14)</f>
      </c>
      <c r="F15" s="1062">
        <f>SUM(F11:F14)</f>
      </c>
      <c r="G15" s="1062">
        <f>SUM(G11:G14)</f>
      </c>
      <c r="H15" s="1062">
        <f>SUM(H11:H14)</f>
      </c>
      <c r="I15" s="1062">
        <f>SUM(I11:I14)</f>
      </c>
      <c r="J15" s="1062">
        <f>SUM(J11:J14)</f>
      </c>
      <c r="K15" s="1062">
        <f>SUM(K11:K14)</f>
      </c>
      <c r="L15" s="1062">
        <f>SUM(L11:L14)</f>
      </c>
      <c r="M15" s="1062">
        <f>SUM(M11:M14)</f>
      </c>
      <c r="N15" s="1062">
        <f>SUM(N11:N14)</f>
      </c>
      <c r="O15" s="1062">
        <f>SUM(O11:O14)</f>
      </c>
      <c r="P15" s="1062">
        <f>SUM(P11:P14)</f>
      </c>
      <c r="Q15" s="1062">
        <f>SUM(Q11:Q14)</f>
      </c>
    </row>
    <row r="16" hidden="1"/>
    <row r="17" hidden="1"/>
    <row r="18" hidden="1">
      <c r="D18" s="1060" t="s">
        <v>72</v>
      </c>
      <c r="E18" s="1060" t="s">
        <v>73</v>
      </c>
      <c r="F18" s="1060" t="s">
        <v>74</v>
      </c>
      <c r="G18" s="1060" t="s">
        <v>75</v>
      </c>
      <c r="H18" s="1060" t="s">
        <v>76</v>
      </c>
      <c r="I18" s="1060" t="s">
        <v>77</v>
      </c>
      <c r="J18" s="1060" t="s">
        <v>78</v>
      </c>
      <c r="K18" s="1060" t="s">
        <v>79</v>
      </c>
      <c r="L18" s="1060" t="s">
        <v>80</v>
      </c>
      <c r="M18" s="1060" t="s">
        <v>81</v>
      </c>
      <c r="N18" s="1060" t="s">
        <v>82</v>
      </c>
      <c r="O18" s="1060" t="s">
        <v>83</v>
      </c>
      <c r="P18" s="1060" t="s">
        <v>84</v>
      </c>
      <c r="Q18" s="1064" t="s">
        <v>45</v>
      </c>
    </row>
    <row r="19" hidden="1">
      <c r="D19" s="1061">
        <f>BASE!$AP$12</f>
      </c>
      <c r="E19" s="1059">
        <f>IF(BASE!$B$15=1,E3,"")</f>
      </c>
      <c r="F19" s="1059">
        <f>IF(BASE!$B$16=1,F3-E3,"")</f>
      </c>
      <c r="G19" s="1059">
        <f>IF(BASE!$B$17=1,G3-F3,"")</f>
      </c>
      <c r="H19" s="1059">
        <f>IF(BASE!$B$18=1,H3-G3,"")</f>
      </c>
      <c r="I19" s="1059">
        <f>IF(BASE!$B$19=1,I3-H3,"")</f>
      </c>
      <c r="J19" s="1059">
        <f>IF(BASE!$B$20=1,J3-I3,"")</f>
      </c>
      <c r="K19" s="1059">
        <f>IF(BASE!$B$21=1,K3-J3,"")</f>
      </c>
      <c r="L19" s="1059">
        <f>IF(BASE!$B$22=1,L3-K3,"")</f>
      </c>
      <c r="M19" s="1059">
        <f>IF(BASE!$B$23=1,M3-L3,"")</f>
      </c>
      <c r="N19" s="1059">
        <f>IF(BASE!$B$24=1,N3-M3,"")</f>
      </c>
      <c r="O19" s="1059">
        <f>IF(BASE!$B$25=1,O3-N3,"")</f>
      </c>
      <c r="P19" s="1059">
        <f>IF(BASE!$B$26=1,P3-O3,"")</f>
      </c>
      <c r="Q19" s="1065">
        <f>IFERROR(LOOKUP(2,1/(ISNUMBER(E19:P19)*(E19:P19&lt;&gt;0)),E19:P19),0)</f>
      </c>
    </row>
    <row r="20" hidden="1">
      <c r="D20" s="1061">
        <f>BASE!$AP$13</f>
      </c>
      <c r="E20" s="1059">
        <f>IF(BASE!$B$15=1,E4,"")</f>
      </c>
      <c r="F20" s="1059">
        <f>IF(BASE!$B$16=1,F4-E4,"")</f>
      </c>
      <c r="G20" s="1059">
        <f>IF(BASE!$B$17=1,G4-F4,"")</f>
      </c>
      <c r="H20" s="1059">
        <f>IF(BASE!$B$18=1,H4-G4,"")</f>
      </c>
      <c r="I20" s="1059">
        <f>IF(BASE!$B$19=1,I4-H4,"")</f>
      </c>
      <c r="J20" s="1059">
        <f>IF(BASE!$B$20=1,J4-I4,"")</f>
      </c>
      <c r="K20" s="1059">
        <f>IF(BASE!$B$21=1,K4-J4,"")</f>
      </c>
      <c r="L20" s="1059">
        <f>IF(BASE!$B$22=1,L4-K4,"")</f>
      </c>
      <c r="M20" s="1059">
        <f>IF(BASE!$B$23=1,M4-L4,"")</f>
      </c>
      <c r="N20" s="1059">
        <f>IF(BASE!$B$24=1,N4-M4,"")</f>
      </c>
      <c r="O20" s="1059">
        <f>IF(BASE!$B$25=1,O4-N4,"")</f>
      </c>
      <c r="P20" s="1059">
        <f>IF(BASE!$B$26=1,P4-O4,"")</f>
      </c>
      <c r="Q20" s="1065">
        <f>IFERROR(LOOKUP(2,1/(ISNUMBER(E20:P20)*(E20:P20&lt;&gt;0)),E20:P20),0)</f>
      </c>
    </row>
    <row r="21" hidden="1">
      <c r="D21" s="1061">
        <f>BASE!$AP$14</f>
      </c>
      <c r="E21" s="1059">
        <f>IF(BASE!$B$15=1,E5,"")</f>
      </c>
      <c r="F21" s="1059">
        <f>IF(BASE!$B$16=1,F5-E5,"")</f>
      </c>
      <c r="G21" s="1059">
        <f>IF(BASE!$B$17=1,G5-F5,"")</f>
      </c>
      <c r="H21" s="1059">
        <f>IF(BASE!$B$18=1,H5-G5,"")</f>
      </c>
      <c r="I21" s="1059">
        <f>IF(BASE!$B$19=1,I5-H5,"")</f>
      </c>
      <c r="J21" s="1059">
        <f>IF(BASE!$B$20=1,J5-I5,"")</f>
      </c>
      <c r="K21" s="1059">
        <f>IF(BASE!$B$21=1,K5-J5,"")</f>
      </c>
      <c r="L21" s="1059">
        <f>IF(BASE!$B$22=1,L5-K5,"")</f>
      </c>
      <c r="M21" s="1059">
        <f>IF(BASE!$B$23=1,M5-L5,"")</f>
      </c>
      <c r="N21" s="1059">
        <f>IF(BASE!$B$24=1,N5-M5,"")</f>
      </c>
      <c r="O21" s="1059">
        <f>IF(BASE!$B$25=1,O5-N5,"")</f>
      </c>
      <c r="P21" s="1059">
        <f>IF(BASE!$B$26=1,P5-O5,"")</f>
      </c>
      <c r="Q21" s="1065">
        <f>IFERROR(LOOKUP(2,1/(ISNUMBER(E21:P21)*(E21:P21&lt;&gt;0)),E21:P21),0)</f>
      </c>
    </row>
    <row r="22" hidden="1">
      <c r="D22" s="1061">
        <f>BASE!$AP$15</f>
      </c>
      <c r="E22" s="1059">
        <f>IF(BASE!$B$15=1,E6,"")</f>
      </c>
      <c r="F22" s="1059">
        <f>IF(BASE!$B$16=1,F6-E6,"")</f>
      </c>
      <c r="G22" s="1059">
        <f>IF(BASE!$B$17=1,G6-F6,"")</f>
      </c>
      <c r="H22" s="1059">
        <f>IF(BASE!$B$18=1,H6-G6,"")</f>
      </c>
      <c r="I22" s="1059">
        <f>IF(BASE!$B$19=1,I6-H6,"")</f>
      </c>
      <c r="J22" s="1059">
        <f>IF(BASE!$B$20=1,J6-I6,"")</f>
      </c>
      <c r="K22" s="1059">
        <f>IF(BASE!$B$21=1,K6-J6,"")</f>
      </c>
      <c r="L22" s="1059">
        <f>IF(BASE!$B$22=1,L6-K6,"")</f>
      </c>
      <c r="M22" s="1059">
        <f>IF(BASE!$B$23=1,M6-L6,"")</f>
      </c>
      <c r="N22" s="1059">
        <f>IF(BASE!$B$24=1,N6-M6,"")</f>
      </c>
      <c r="O22" s="1059">
        <f>IF(BASE!$B$25=1,O6-N6,"")</f>
      </c>
      <c r="P22" s="1059">
        <f>IF(BASE!$B$26=1,P6-O6,"")</f>
      </c>
      <c r="Q22" s="1065">
        <f>IFERROR(LOOKUP(2,1/(ISNUMBER(E22:P22)*(E22:P22&lt;&gt;0)),E22:P22),0)</f>
      </c>
    </row>
    <row r="23" hidden="1">
      <c r="D23" s="1063" t="s">
        <v>2</v>
      </c>
      <c r="E23" s="1062">
        <f>SUM(E19:E22)</f>
      </c>
      <c r="F23" s="1062">
        <f>SUM(F19:F22)</f>
      </c>
      <c r="G23" s="1062">
        <f>SUM(G19:G22)</f>
      </c>
      <c r="H23" s="1062">
        <f>SUM(H19:H22)</f>
      </c>
      <c r="I23" s="1062">
        <f>SUM(I19:I22)</f>
      </c>
      <c r="J23" s="1062">
        <f>SUM(J19:J22)</f>
      </c>
      <c r="K23" s="1062">
        <f>SUM(K19:K22)</f>
      </c>
      <c r="L23" s="1062">
        <f>SUM(L19:L22)</f>
      </c>
      <c r="M23" s="1062">
        <f>SUM(M19:M22)</f>
      </c>
      <c r="N23" s="1062">
        <f>SUM(N19:N22)</f>
      </c>
      <c r="O23" s="1062">
        <f>SUM(O19:O22)</f>
      </c>
      <c r="P23" s="1062">
        <f>SUM(P19:P22)</f>
      </c>
      <c r="Q23" s="1062">
        <f>SUM(Q19:Q22)</f>
      </c>
    </row>
    <row r="25">
      <c r="D25" s="1060" t="s">
        <v>72</v>
      </c>
      <c r="E25" s="1060" t="s">
        <v>101</v>
      </c>
      <c r="F25" s="1060" t="s">
        <v>102</v>
      </c>
      <c r="G25" s="1060" t="s">
        <v>103</v>
      </c>
      <c r="H25" s="1060" t="s">
        <v>104</v>
      </c>
      <c r="I25" s="1060" t="s">
        <v>105</v>
      </c>
      <c r="J25" s="1060" t="s">
        <v>106</v>
      </c>
      <c r="K25" s="1060" t="s">
        <v>107</v>
      </c>
      <c r="L25" s="1060" t="s">
        <v>108</v>
      </c>
      <c r="M25" s="1060" t="s">
        <v>109</v>
      </c>
      <c r="N25" s="1060" t="s">
        <v>110</v>
      </c>
      <c r="O25" s="1060" t="s">
        <v>111</v>
      </c>
      <c r="P25" s="1060" t="s">
        <v>112</v>
      </c>
      <c r="Q25" s="1064" t="s">
        <v>113</v>
      </c>
    </row>
    <row r="26">
      <c r="D26" s="1061">
        <f>BASE!$AP$12</f>
      </c>
      <c r="E26" s="1059">
        <f>IF(BASE!$B$27=1,BASE!$AG$27/1000,"")</f>
      </c>
      <c r="F26" s="1059">
        <f>IF(BASE!$B$28=1,BASE!$AG$28/1000,"")</f>
      </c>
      <c r="G26" s="1059">
        <f>IF(BASE!$B$29=1,BASE!$AG$29/1000,"")</f>
      </c>
      <c r="H26" s="1059">
        <f>IF(BASE!$B$30=1,BASE!$AG$30/1000,"")</f>
      </c>
      <c r="I26" s="1059">
        <f>IF(BASE!$B$31=1,BASE!$AG$31/1000,"")</f>
      </c>
      <c r="J26" s="1059">
        <f>IF(BASE!$B$32=1,BASE!$AG$32/1000,"")</f>
      </c>
      <c r="K26" s="1059">
        <f>IF(BASE!$B$33=1,BASE!$AG$33/1000,"")</f>
      </c>
      <c r="L26" s="1059">
        <f>IF(BASE!$B$34=1,BASE!$AG$34/1000,"")</f>
      </c>
      <c r="M26" s="1059">
        <f>IF(BASE!$B$35=1,BASE!$AG$35/1000,"")</f>
      </c>
      <c r="N26" s="1059">
        <f>IF(BASE!$B$36=1,BASE!$AG$36/1000,"")</f>
      </c>
      <c r="O26" s="1059">
        <f>IF(BASE!$B$37=1,BASE!$AG$37/1000,"")</f>
      </c>
      <c r="P26" s="1059">
        <f>IF(BASE!$B$38=1,BASE!$AG$38/1000,"")</f>
      </c>
      <c r="Q26" s="1065">
        <f>IFERROR(LOOKUP(2,1/(ISNUMBER(E26:P26)*(E26:P26&lt;&gt;0)),E26:P26),0)</f>
      </c>
    </row>
    <row r="27">
      <c r="D27" s="1061">
        <f>BASE!$AP$13</f>
      </c>
      <c r="E27" s="1059">
        <f>IF(BASE!$B$27=1,BASE!$AH$27/1000,"")</f>
      </c>
      <c r="F27" s="1059">
        <f>IF(BASE!$B$28=1,BASE!$AH$28/1000,"")</f>
      </c>
      <c r="G27" s="1059">
        <f>IF(BASE!$B$29=1,BASE!$AH$29/1000,"")</f>
      </c>
      <c r="H27" s="1059">
        <f>IF(BASE!$B$30=1,BASE!$AH$30/1000,"")</f>
      </c>
      <c r="I27" s="1059">
        <f>IF(BASE!$B$31=1,BASE!$AH$31/1000,"")</f>
      </c>
      <c r="J27" s="1059">
        <f>IF(BASE!$B$32=1,BASE!$AH$32/1000,"")</f>
      </c>
      <c r="K27" s="1059">
        <f>IF(BASE!$B$33=1,BASE!$AH$33/1000,"")</f>
      </c>
      <c r="L27" s="1059">
        <f>IF(BASE!$B$34=1,BASE!$AH$34/1000,"")</f>
      </c>
      <c r="M27" s="1059">
        <f>IF(BASE!$B$35=1,BASE!$AH$35/1000,"")</f>
      </c>
      <c r="N27" s="1059">
        <f>IF(BASE!$B$36=1,BASE!$AH$36/1000,"")</f>
      </c>
      <c r="O27" s="1059">
        <f>IF(BASE!$B$37=1,BASE!$AH$37/1000,"")</f>
      </c>
      <c r="P27" s="1059">
        <f>IF(BASE!$B$38=1,BASE!$AH$38/1000,"")</f>
      </c>
      <c r="Q27" s="1065">
        <f>IFERROR(LOOKUP(2,1/(ISNUMBER(E27:P27)*(E27:P27&lt;&gt;0)),E27:P27),0)</f>
      </c>
    </row>
    <row r="28">
      <c r="D28" s="1061">
        <f>BASE!$AP$14</f>
      </c>
      <c r="E28" s="1059">
        <f>IF(BASE!$B$27=1,BASE!$AI$27/1000,"")</f>
      </c>
      <c r="F28" s="1059">
        <f>IF(BASE!$B$28=1,BASE!$AI$28/1000,"")</f>
      </c>
      <c r="G28" s="1059">
        <f>IF(BASE!$B$29=1,BASE!$AI$29/1000,"")</f>
      </c>
      <c r="H28" s="1059">
        <f>IF(BASE!$B$30=1,BASE!$AI$30/1000,"")</f>
      </c>
      <c r="I28" s="1059">
        <f>IF(BASE!$B$31=1,BASE!$AI$31/1000,"")</f>
      </c>
      <c r="J28" s="1059">
        <f>IF(BASE!$B$32=1,BASE!$AI$32/1000,"")</f>
      </c>
      <c r="K28" s="1059">
        <f>IF(BASE!$B$33=1,BASE!$AI$33/1000,"")</f>
      </c>
      <c r="L28" s="1059">
        <f>IF(BASE!$B$34=1,BASE!$AI$34/1000,"")</f>
      </c>
      <c r="M28" s="1059">
        <f>IF(BASE!$B$35=1,BASE!$AI$35/1000,"")</f>
      </c>
      <c r="N28" s="1059">
        <f>IF(BASE!$B$36=1,BASE!$AI$36/1000,"")</f>
      </c>
      <c r="O28" s="1059">
        <f>IF(BASE!$B$37=1,BASE!$AI$37/1000,"")</f>
      </c>
      <c r="P28" s="1059">
        <f>IF(BASE!$B$38=1,BASE!$AI$38/1000,"")</f>
      </c>
      <c r="Q28" s="1065">
        <f>IFERROR(LOOKUP(2,1/(ISNUMBER(E28:P28)*(E28:P28&lt;&gt;0)),E28:P28),0)</f>
      </c>
    </row>
    <row r="29">
      <c r="D29" s="1061">
        <f>BASE!$AP$15</f>
      </c>
      <c r="E29" s="1059">
        <f>IF(BASE!$B$27=1,BASE!$AJ$27/1000,"")</f>
      </c>
      <c r="F29" s="1059">
        <f>IF(BASE!$B$28=1,BASE!$AJ$28/1000,"")</f>
      </c>
      <c r="G29" s="1059">
        <f>IF(BASE!$B$29=1,BASE!$AJ$29/1000,"")</f>
      </c>
      <c r="H29" s="1059">
        <f>IF(BASE!$B$30=1,BASE!$AJ$30/1000,"")</f>
      </c>
      <c r="I29" s="1059">
        <f>IF(BASE!$B$31=1,BASE!$AJ$31/1000,"")</f>
      </c>
      <c r="J29" s="1059">
        <f>IF(BASE!$B$32=1,BASE!$AJ$32/1000,"")</f>
      </c>
      <c r="K29" s="1059">
        <f>IF(BASE!$B$33=1,BASE!$AJ$33/1000,"")</f>
      </c>
      <c r="L29" s="1059">
        <f>IF(BASE!$B$34=1,BASE!$AJ$34/1000,"")</f>
      </c>
      <c r="M29" s="1059">
        <f>IF(BASE!$B$35=1,BASE!$AJ$35/1000,"")</f>
      </c>
      <c r="N29" s="1059">
        <f>IF(BASE!$B$36=1,BASE!$AJ$36/1000,"")</f>
      </c>
      <c r="O29" s="1059">
        <f>IF(BASE!$B$37=1,BASE!$AJ$37/1000,"")</f>
      </c>
      <c r="P29" s="1059">
        <f>IF(BASE!$B$38=1,BASE!$AJ$38/1000,"")</f>
      </c>
      <c r="Q29" s="1065">
        <f>IFERROR(LOOKUP(2,1/(ISNUMBER(E29:P29)*(E29:P29&lt;&gt;0)),E29:P29),0)</f>
      </c>
    </row>
    <row r="30">
      <c r="D30" s="1063" t="s">
        <v>2</v>
      </c>
      <c r="E30" s="1062">
        <f>SUM(E26:E29)</f>
      </c>
      <c r="F30" s="1062">
        <f>SUM(F26:F29)</f>
      </c>
      <c r="G30" s="1062">
        <f>SUM(G26:G29)</f>
      </c>
      <c r="H30" s="1062">
        <f>SUM(H26:H29)</f>
      </c>
      <c r="I30" s="1062">
        <f>SUM(I26:I29)</f>
      </c>
      <c r="J30" s="1062">
        <f>SUM(J26:J29)</f>
      </c>
      <c r="K30" s="1062">
        <f>SUM(K26:K29)</f>
      </c>
      <c r="L30" s="1062">
        <f>SUM(L26:L29)</f>
      </c>
      <c r="M30" s="1062">
        <f>SUM(M26:M29)</f>
      </c>
      <c r="N30" s="1062">
        <f>SUM(N26:N29)</f>
      </c>
      <c r="O30" s="1062">
        <f>SUM(O26:O29)</f>
      </c>
      <c r="P30" s="1062">
        <f>SUM(P26:P29)</f>
      </c>
      <c r="Q30" s="1062">
        <f>SUM(Q26:Q29)</f>
      </c>
    </row>
    <row r="33">
      <c r="D33" s="1060" t="s">
        <v>72</v>
      </c>
      <c r="E33" s="1060" t="s">
        <v>101</v>
      </c>
      <c r="F33" s="1060" t="s">
        <v>102</v>
      </c>
      <c r="G33" s="1060" t="s">
        <v>103</v>
      </c>
      <c r="H33" s="1060" t="s">
        <v>104</v>
      </c>
      <c r="I33" s="1060" t="s">
        <v>105</v>
      </c>
      <c r="J33" s="1060" t="s">
        <v>106</v>
      </c>
      <c r="K33" s="1060" t="s">
        <v>107</v>
      </c>
      <c r="L33" s="1060" t="s">
        <v>108</v>
      </c>
      <c r="M33" s="1060" t="s">
        <v>109</v>
      </c>
      <c r="N33" s="1060" t="s">
        <v>110</v>
      </c>
      <c r="O33" s="1060" t="s">
        <v>111</v>
      </c>
      <c r="P33" s="1060" t="s">
        <v>112</v>
      </c>
      <c r="Q33" s="1064" t="s">
        <v>114</v>
      </c>
    </row>
    <row r="34">
      <c r="D34" s="1061">
        <f>BASE!$AP$12</f>
      </c>
      <c r="E34" s="1059">
        <f>IF(BASE!$B$27=1,BASE!$AK$27/1000,"")</f>
      </c>
      <c r="F34" s="1059">
        <f>IF(BASE!$B$28=1,BASE!$AK$28/1000,"")</f>
      </c>
      <c r="G34" s="1059">
        <f>IF(BASE!$B$29=1,BASE!$AK$29/1000,"")</f>
      </c>
      <c r="H34" s="1059">
        <f>IF(BASE!$B$30=1,BASE!$AK$30/1000,"")</f>
      </c>
      <c r="I34" s="1059">
        <f>IF(BASE!$B$31=1,BASE!$AK$31/1000,"")</f>
      </c>
      <c r="J34" s="1059">
        <f>IF(BASE!$B$32=1,BASE!$AK$32/1000,"")</f>
      </c>
      <c r="K34" s="1059">
        <f>IF(BASE!$B$33=1,BASE!$AK$33/1000,"")</f>
      </c>
      <c r="L34" s="1059">
        <f>IF(BASE!$B$34=1,BASE!$AK$34/1000,"")</f>
      </c>
      <c r="M34" s="1059">
        <f>IF(BASE!$B$35=1,BASE!$AK$35/1000,"")</f>
      </c>
      <c r="N34" s="1059">
        <f>IF(BASE!$B$36=1,BASE!$AK$36/1000,"")</f>
      </c>
      <c r="O34" s="1059">
        <f>IF(BASE!$B$37=1,BASE!$AK$37/1000,"")</f>
      </c>
      <c r="P34" s="1059">
        <f>IF(BASE!$B$38=1,BASE!$AK$38/1000,"")</f>
      </c>
      <c r="Q34" s="1065">
        <f>SUM(E34:P34)</f>
      </c>
    </row>
    <row r="35">
      <c r="D35" s="1061">
        <f>BASE!$AP$13</f>
      </c>
      <c r="E35" s="1059">
        <f>IF(BASE!$B$27=1,BASE!$AL$27/1000,"")</f>
      </c>
      <c r="F35" s="1059">
        <f>IF(BASE!$B$28=1,BASE!$AL$28/1000,"")</f>
      </c>
      <c r="G35" s="1059">
        <f>IF(BASE!$B$29=1,BASE!$AL$29/1000,"")</f>
      </c>
      <c r="H35" s="1059">
        <f>IF(BASE!$B$30=1,BASE!$AL$30/1000,"")</f>
      </c>
      <c r="I35" s="1059">
        <f>IF(BASE!$B$31=1,BASE!$AL$31/1000,"")</f>
      </c>
      <c r="J35" s="1059">
        <f>IF(BASE!$B$32=1,BASE!$AL$32/1000,"")</f>
      </c>
      <c r="K35" s="1059">
        <f>IF(BASE!$B$33=1,BASE!$AL$33/1000,"")</f>
      </c>
      <c r="L35" s="1059">
        <f>IF(BASE!$B$34=1,BASE!$AL$34/1000,"")</f>
      </c>
      <c r="M35" s="1059">
        <f>IF(BASE!$B$35=1,BASE!$AL$35/1000,"")</f>
      </c>
      <c r="N35" s="1059">
        <f>IF(BASE!$B$36=1,BASE!$AL$36/1000,"")</f>
      </c>
      <c r="O35" s="1059">
        <f>IF(BASE!$B$37=1,BASE!$AL$37/1000,"")</f>
      </c>
      <c r="P35" s="1059">
        <f>IF(BASE!$B$38=1,BASE!$AL$38/1000,"")</f>
      </c>
      <c r="Q35" s="1065">
        <f>SUM(E35:P35)</f>
      </c>
    </row>
    <row r="36">
      <c r="D36" s="1061">
        <f>BASE!$AP$14</f>
      </c>
      <c r="E36" s="1059">
        <f>IF(BASE!$B$27=1,BASE!$AM$27/1000,"")</f>
      </c>
      <c r="F36" s="1059">
        <f>IF(BASE!$B$28=1,BASE!$AM$28/1000,"")</f>
      </c>
      <c r="G36" s="1059">
        <f>IF(BASE!$B$29=1,BASE!$AM$29/1000,"")</f>
      </c>
      <c r="H36" s="1059">
        <f>IF(BASE!$B$30=1,BASE!$AM$30/1000,"")</f>
      </c>
      <c r="I36" s="1059">
        <f>IF(BASE!$B$31=1,BASE!$AM$31/1000,"")</f>
      </c>
      <c r="J36" s="1059">
        <f>IF(BASE!$B$32=1,BASE!$AM$32/1000,"")</f>
      </c>
      <c r="K36" s="1059">
        <f>IF(BASE!$B$33=1,BASE!$AM$33/1000,"")</f>
      </c>
      <c r="L36" s="1059">
        <f>IF(BASE!$B$34=1,BASE!$AM$34/1000,"")</f>
      </c>
      <c r="M36" s="1059">
        <f>IF(BASE!$B$35=1,BASE!$AM$35/1000,"")</f>
      </c>
      <c r="N36" s="1059">
        <f>IF(BASE!$B$36=1,BASE!$AM$36/1000,"")</f>
      </c>
      <c r="O36" s="1059">
        <f>IF(BASE!$B$37=1,BASE!$AM$37/1000,"")</f>
      </c>
      <c r="P36" s="1059">
        <f>IF(BASE!$B$38=1,BASE!$AM$38/1000,"")</f>
      </c>
      <c r="Q36" s="1065">
        <f>SUM(E36:P36)</f>
      </c>
    </row>
    <row r="37">
      <c r="D37" s="1061">
        <f>BASE!$AP$15</f>
      </c>
      <c r="E37" s="1059">
        <f>IF(BASE!$B$27=1,BASE!$AN$27/1000,"")</f>
      </c>
      <c r="F37" s="1059">
        <f>IF(BASE!$B$28=1,BASE!$AN$28/1000,"")</f>
      </c>
      <c r="G37" s="1059">
        <f>IF(BASE!$B$29=1,BASE!$AN$29/1000,"")</f>
      </c>
      <c r="H37" s="1059">
        <f>IF(BASE!$B$30=1,BASE!$AN$30/1000,"")</f>
      </c>
      <c r="I37" s="1059">
        <f>IF(BASE!$B$31=1,BASE!$AN$31/1000,"")</f>
      </c>
      <c r="J37" s="1059">
        <f>IF(BASE!$B$32=1,BASE!$AN$32/1000,"")</f>
      </c>
      <c r="K37" s="1059">
        <f>IF(BASE!$B$33=1,BASE!$AN$33/1000,"")</f>
      </c>
      <c r="L37" s="1059">
        <f>IF(BASE!$B$34=1,BASE!$AN$34/1000,"")</f>
      </c>
      <c r="M37" s="1059">
        <f>IF(BASE!$B$35=1,BASE!$AN$35/1000,"")</f>
      </c>
      <c r="N37" s="1059">
        <f>IF(BASE!$B$36=1,BASE!$AN$36/1000,"")</f>
      </c>
      <c r="O37" s="1059">
        <f>IF(BASE!$B$37=1,BASE!$AN$37/1000,"")</f>
      </c>
      <c r="P37" s="1059">
        <f>IF(BASE!$B$38=1,BASE!$AN$38/1000,"")</f>
      </c>
      <c r="Q37" s="1065">
        <f>SUM(E37:P37)</f>
      </c>
    </row>
    <row r="38">
      <c r="D38" s="1063" t="s">
        <v>2</v>
      </c>
      <c r="E38" s="1062">
        <f>SUM(E34:E37)</f>
      </c>
      <c r="F38" s="1062">
        <f>SUM(F34:F37)</f>
      </c>
      <c r="G38" s="1062">
        <f>SUM(G34:G37)</f>
      </c>
      <c r="H38" s="1062">
        <f>SUM(H34:H37)</f>
      </c>
      <c r="I38" s="1062">
        <f>SUM(I34:I37)</f>
      </c>
      <c r="J38" s="1062">
        <f>SUM(J34:J37)</f>
      </c>
      <c r="K38" s="1062">
        <f>SUM(K34:K37)</f>
      </c>
      <c r="L38" s="1062">
        <f>SUM(L34:L37)</f>
      </c>
      <c r="M38" s="1062">
        <f>SUM(M34:M37)</f>
      </c>
      <c r="N38" s="1062">
        <f>SUM(N34:N37)</f>
      </c>
      <c r="O38" s="1062">
        <f>SUM(O34:O37)</f>
      </c>
      <c r="P38" s="1062">
        <f>SUM(P34:P37)</f>
      </c>
      <c r="Q38" s="1062">
        <f>SUM(Q34:Q37)</f>
      </c>
    </row>
    <row r="41">
      <c r="D41" s="1060" t="s">
        <v>72</v>
      </c>
      <c r="E41" s="1060" t="s">
        <v>101</v>
      </c>
      <c r="F41" s="1060" t="s">
        <v>102</v>
      </c>
      <c r="G41" s="1060" t="s">
        <v>103</v>
      </c>
      <c r="H41" s="1060" t="s">
        <v>104</v>
      </c>
      <c r="I41" s="1060" t="s">
        <v>105</v>
      </c>
      <c r="J41" s="1060" t="s">
        <v>106</v>
      </c>
      <c r="K41" s="1060" t="s">
        <v>107</v>
      </c>
      <c r="L41" s="1060" t="s">
        <v>108</v>
      </c>
      <c r="M41" s="1060" t="s">
        <v>109</v>
      </c>
      <c r="N41" s="1060" t="s">
        <v>110</v>
      </c>
      <c r="O41" s="1060" t="s">
        <v>111</v>
      </c>
      <c r="P41" s="1060" t="s">
        <v>112</v>
      </c>
      <c r="Q41" s="1064" t="s">
        <v>45</v>
      </c>
    </row>
    <row r="42">
      <c r="D42" s="1061">
        <f>BASE!$AP$12</f>
      </c>
      <c r="E42" s="1059">
        <f>IF(BASE!$B$27=1,IF(N(P3)=0,0,E26-P3),"")</f>
      </c>
      <c r="F42" s="1059">
        <f>IF(BASE!$B$28=1,F26-E26,"")</f>
      </c>
      <c r="G42" s="1059">
        <f>IF(BASE!$B$29=1,G26-F26,"")</f>
      </c>
      <c r="H42" s="1059">
        <f>IF(BASE!$B$30=1,H26-G26,"")</f>
      </c>
      <c r="I42" s="1059">
        <f>IF(BASE!$B$31=1,I26-H26,"")</f>
      </c>
      <c r="J42" s="1059">
        <f>IF(BASE!$B$32=1,J26-I26,"")</f>
      </c>
      <c r="K42" s="1059">
        <f>IF(BASE!$B$33=1,K26-J26,"")</f>
      </c>
      <c r="L42" s="1059">
        <f>IF(BASE!$B$34=1,L26-K26,"")</f>
      </c>
      <c r="M42" s="1059">
        <f>IF(BASE!$B$35=1,M26-L26,"")</f>
      </c>
      <c r="N42" s="1059">
        <f>IF(BASE!$B$36=1,N26-M26,"")</f>
      </c>
      <c r="O42" s="1059">
        <f>IF(BASE!$B$37=1,O26-N26,"")</f>
      </c>
      <c r="P42" s="1059">
        <f>IF(BASE!$B$38=1,P26-O26,"")</f>
      </c>
      <c r="Q42" s="1065">
        <f>IFERROR(LOOKUP(2,1/(ISNUMBER(E42:P42)*(E42:P42&lt;&gt;0)),E42:P42),0)</f>
      </c>
    </row>
    <row r="43">
      <c r="D43" s="1061">
        <f>BASE!$AP$13</f>
      </c>
      <c r="E43" s="1059">
        <f>IF(BASE!$B$27=1,IF(N(P4)=0,0,E27-P4),"")</f>
      </c>
      <c r="F43" s="1059">
        <f>IF(BASE!$B$28=1,F27-E27,"")</f>
      </c>
      <c r="G43" s="1059">
        <f>IF(BASE!$B$29=1,G27-F27,"")</f>
      </c>
      <c r="H43" s="1059">
        <f>IF(BASE!$B$30=1,H27-G27,"")</f>
      </c>
      <c r="I43" s="1059">
        <f>IF(BASE!$B$31=1,I27-H27,"")</f>
      </c>
      <c r="J43" s="1059">
        <f>IF(BASE!$B$32=1,J27-I27,"")</f>
      </c>
      <c r="K43" s="1059">
        <f>IF(BASE!$B$33=1,K27-J27,"")</f>
      </c>
      <c r="L43" s="1059">
        <f>IF(BASE!$B$34=1,L27-K27,"")</f>
      </c>
      <c r="M43" s="1059">
        <f>IF(BASE!$B$35=1,M27-L27,"")</f>
      </c>
      <c r="N43" s="1059">
        <f>IF(BASE!$B$36=1,N27-M27,"")</f>
      </c>
      <c r="O43" s="1059">
        <f>IF(BASE!$B$37=1,O27-N27,"")</f>
      </c>
      <c r="P43" s="1059">
        <f>IF(BASE!$B$38=1,P27-O27,"")</f>
      </c>
      <c r="Q43" s="1065">
        <f>IFERROR(LOOKUP(2,1/(ISNUMBER(E43:P43)*(E43:P43&lt;&gt;0)),E43:P43),0)</f>
      </c>
    </row>
    <row r="44">
      <c r="D44" s="1061">
        <f>BASE!$AP$14</f>
      </c>
      <c r="E44" s="1059">
        <f>IF(BASE!$B$27=1,IF(N(P5)=0,0,E28-P5),"")</f>
      </c>
      <c r="F44" s="1059">
        <f>IF(BASE!$B$28=1,F28-E28,"")</f>
      </c>
      <c r="G44" s="1059">
        <f>IF(BASE!$B$29=1,G28-F28,"")</f>
      </c>
      <c r="H44" s="1059">
        <f>IF(BASE!$B$30=1,H28-G28,"")</f>
      </c>
      <c r="I44" s="1059">
        <f>IF(BASE!$B$31=1,I28-H28,"")</f>
      </c>
      <c r="J44" s="1059">
        <f>IF(BASE!$B$32=1,J28-I28,"")</f>
      </c>
      <c r="K44" s="1059">
        <f>IF(BASE!$B$33=1,K28-J28,"")</f>
      </c>
      <c r="L44" s="1059">
        <f>IF(BASE!$B$34=1,L28-K28,"")</f>
      </c>
      <c r="M44" s="1059">
        <f>IF(BASE!$B$35=1,M28-L28,"")</f>
      </c>
      <c r="N44" s="1059">
        <f>IF(BASE!$B$36=1,N28-M28,"")</f>
      </c>
      <c r="O44" s="1059">
        <f>IF(BASE!$B$37=1,O28-N28,"")</f>
      </c>
      <c r="P44" s="1059">
        <f>IF(BASE!$B$38=1,P28-O28,"")</f>
      </c>
      <c r="Q44" s="1065">
        <f>IFERROR(LOOKUP(2,1/(ISNUMBER(E44:P44)*(E44:P44&lt;&gt;0)),E44:P44),0)</f>
      </c>
    </row>
    <row r="45">
      <c r="D45" s="1061">
        <f>BASE!$AP$15</f>
      </c>
      <c r="E45" s="1059">
        <f>IF(BASE!$B$27=1,IF(N(P6)=0,0,E29-P6),"")</f>
      </c>
      <c r="F45" s="1059">
        <f>IF(BASE!$B$28=1,F29-E29,"")</f>
      </c>
      <c r="G45" s="1059">
        <f>IF(BASE!$B$29=1,G29-F29,"")</f>
      </c>
      <c r="H45" s="1059">
        <f>IF(BASE!$B$30=1,H29-G29,"")</f>
      </c>
      <c r="I45" s="1059">
        <f>IF(BASE!$B$31=1,I29-H29,"")</f>
      </c>
      <c r="J45" s="1059">
        <f>IF(BASE!$B$32=1,J29-I29,"")</f>
      </c>
      <c r="K45" s="1059">
        <f>IF(BASE!$B$33=1,K29-J29,"")</f>
      </c>
      <c r="L45" s="1059">
        <f>IF(BASE!$B$34=1,L29-K29,"")</f>
      </c>
      <c r="M45" s="1059">
        <f>IF(BASE!$B$35=1,M29-L29,"")</f>
      </c>
      <c r="N45" s="1059">
        <f>IF(BASE!$B$36=1,N29-M29,"")</f>
      </c>
      <c r="O45" s="1059">
        <f>IF(BASE!$B$37=1,O29-N29,"")</f>
      </c>
      <c r="P45" s="1059">
        <f>IF(BASE!$B$38=1,P29-O29,"")</f>
      </c>
      <c r="Q45" s="1065">
        <f>IFERROR(LOOKUP(2,1/(ISNUMBER(E45:P45)*(E45:P45&lt;&gt;0)),E45:P45),0)</f>
      </c>
    </row>
    <row r="46">
      <c r="D46" s="1063" t="s">
        <v>2</v>
      </c>
      <c r="E46" s="1062">
        <f>SUM(E42:E45)</f>
      </c>
      <c r="F46" s="1062">
        <f>SUM(F42:F45)</f>
      </c>
      <c r="G46" s="1062">
        <f>SUM(G42:G45)</f>
      </c>
      <c r="H46" s="1062">
        <f>SUM(H42:H45)</f>
      </c>
      <c r="I46" s="1062">
        <f>SUM(I42:I45)</f>
      </c>
      <c r="J46" s="1062">
        <f>SUM(J42:J45)</f>
      </c>
      <c r="K46" s="1062">
        <f>SUM(K42:K45)</f>
      </c>
      <c r="L46" s="1062">
        <f>SUM(L42:L45)</f>
      </c>
      <c r="M46" s="1062">
        <f>SUM(M42:M45)</f>
      </c>
      <c r="N46" s="1062">
        <f>SUM(N42:N45)</f>
      </c>
      <c r="O46" s="1062">
        <f>SUM(O42:O45)</f>
      </c>
      <c r="P46" s="1062">
        <f>SUM(P42:P45)</f>
      </c>
      <c r="Q46" s="1062">
        <f>SUM(Q42:Q45)</f>
      </c>
    </row>
  </sheetData>
  <pageMargins left="0.511811024" right="0.511811024" top="0.78740157499999996" bottom="0.78740157499999996" header="0.31496062000000002" footer="0.31496062000000002"/>
  <ignoredErrors>
    <ignoredError sqref="D3:D6 D7 E6:M6 E1:P2 E3:M3 P3 E4:M4 P4 E5:M5 P5 P6" unlockedFormula="1"/>
    <ignoredError sqref="M21:M22 E19:K22 M14 E11:K14 E8:P10 E7:P7 M11 M12 M13" unlockedFormula="1" calculatedColumn="1"/>
    <ignoredError sqref="E16:Q17 Q8:Q10 L11:L14 E23:M23 L19:L22 E18:P18 E15:P15 P23:Q23" calculatedColumn="1"/>
  </ignoredErrors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B293-E03E-4ED9-AF84-A19026FD63A5}">
  <dimension ref="B1:AF40"/>
  <sheetViews>
    <sheetView showGridLines="0" zoomScaleNormal="100" workbookViewId="0"/>
  </sheetViews>
  <sheetFormatPr defaultRowHeight="14.4"/>
  <cols>
    <col min="1" max="1" width="4.44140625" bestFit="1" customWidth="1"/>
    <col min="2" max="2" width="10.6640625" hidden="1" customWidth="1"/>
    <col min="3" max="3" width="10.6640625" bestFit="1" customWidth="1"/>
    <col min="4" max="4" width="11.6640625" bestFit="1" customWidth="1"/>
    <col min="5" max="5" width="5" bestFit="1" customWidth="1"/>
    <col min="6" max="6" width="9.44140625" bestFit="1" customWidth="1"/>
    <col min="7" max="7" width="10.44140625" bestFit="1" customWidth="1"/>
    <col min="8" max="8" width="10.5546875" bestFit="1" customWidth="1"/>
    <col min="9" max="9" width="13.88671875" bestFit="1" customWidth="1"/>
    <col min="10" max="10" width="10.109375" bestFit="1" customWidth="1"/>
    <col min="11" max="11" width="12.109375" bestFit="1" customWidth="1"/>
    <col min="12" max="12" width="14.33203125" bestFit="1" customWidth="1"/>
    <col min="14" max="14" width="13.88671875" customWidth="1"/>
  </cols>
  <sheetData>
    <row r="1">
      <c r="B1">
        <v>1000000</v>
      </c>
      <c r="K1" s="931" t="s">
        <v>45</v>
      </c>
      <c r="L1" s="931"/>
    </row>
    <row r="2">
      <c r="G2" s="1113" t="s">
        <v>47</v>
      </c>
      <c r="H2" s="1113"/>
      <c r="I2" s="1113"/>
      <c r="J2" s="1113"/>
      <c r="K2" s="931" t="s">
        <v>50</v>
      </c>
      <c r="L2" s="931"/>
    </row>
    <row r="3">
      <c r="D3" t="s">
        <v>38</v>
      </c>
      <c r="E3" t="s">
        <v>37</v>
      </c>
      <c r="F3" t="s">
        <v>13</v>
      </c>
      <c r="G3" s="52" t="s">
        <v>48</v>
      </c>
      <c r="H3" s="52"/>
      <c r="I3" s="52" t="s">
        <v>49</v>
      </c>
    </row>
    <row r="4" hidden="1">
      <c r="C4" s="218">
        <f>EOMONTH(BASE!$A$14,0)</f>
      </c>
      <c r="D4">
        <f>VLOOKUP(MONTH(C4),$AE$16:$AF$27,2,0)</f>
      </c>
      <c r="E4">
        <f>YEAR(C4)</f>
      </c>
      <c r="F4" s="497">
        <f>EOMONTH(BASE!$A$14,0)</f>
      </c>
      <c r="G4" s="66">
        <f>IF(BASE!$B$14=1,BASE!$E$14/1000,"")</f>
      </c>
      <c r="H4" s="52"/>
      <c r="I4" s="496">
        <f>SUM(BASE!$E$3:$E$14)/1000</f>
      </c>
      <c r="K4" s="66">
        <f>IF(BASE!$B$14=1,G4,"")</f>
      </c>
    </row>
    <row r="5" hidden="1">
      <c r="C5" s="218">
        <f>EOMONTH(BASE!$A$15,0)</f>
      </c>
      <c r="D5">
        <f>VLOOKUP(MONTH(C5),$AE$16:$AF$27,2,0)</f>
      </c>
      <c r="E5">
        <f>YEAR(C5)</f>
      </c>
      <c r="F5" s="497">
        <f>EOMONTH(BASE!$A$15,0)</f>
      </c>
      <c r="G5" s="66">
        <f>IF(BASE!$B$15=1,BASE!$E$15/1000,"")</f>
      </c>
      <c r="H5" s="52"/>
      <c r="I5" s="496">
        <f>IF(BASE!$B$15=1,SUM($G$5:G5),"")</f>
      </c>
      <c r="K5" s="66">
        <f>IF(BASE!$B$15=1,G5,"")</f>
      </c>
      <c r="L5" s="801"/>
    </row>
    <row r="6">
      <c r="C6" s="218">
        <f>EOMONTH(BASE!$A$16,0)</f>
      </c>
      <c r="D6">
        <f>VLOOKUP(MONTH(C6),$AE$16:$AF$27,2,0)</f>
      </c>
      <c r="E6">
        <f>YEAR(C6)</f>
      </c>
      <c r="F6" s="497">
        <f>EOMONTH(BASE!$A$16,0)</f>
      </c>
      <c r="G6" s="66">
        <f>IF(BASE!$B$16=1,BASE!$E$16/1000,"")</f>
      </c>
      <c r="H6" s="52"/>
      <c r="I6" s="496">
        <f>IF(BASE!$B$16=1,SUM($G$5:G6),"")</f>
      </c>
      <c r="K6" s="66">
        <f>IF(BASE!$B$16=1,G6,"")</f>
      </c>
    </row>
    <row r="7">
      <c r="C7" s="218">
        <f>EOMONTH(BASE!$A$17,0)</f>
      </c>
      <c r="D7">
        <f>VLOOKUP(MONTH(C7),$AE$16:$AF$27,2,0)</f>
      </c>
      <c r="E7">
        <f>YEAR(C7)</f>
      </c>
      <c r="F7" s="497">
        <f>EOMONTH(BASE!$A$17,0)</f>
      </c>
      <c r="G7" s="66">
        <f>IF(BASE!$B$17=1,BASE!$E$17/1000,"")</f>
      </c>
      <c r="H7" s="52"/>
      <c r="I7" s="496">
        <f>IF(BASE!$B$17=1,SUM($G$5:G7),"")</f>
      </c>
      <c r="K7" s="66">
        <f>IF(BASE!$B$17=1,G7,"")</f>
      </c>
    </row>
    <row r="8">
      <c r="C8" s="218">
        <f>EOMONTH(BASE!$A$18,0)</f>
      </c>
      <c r="D8">
        <f>VLOOKUP(MONTH(C8),$AE$16:$AF$27,2,0)</f>
      </c>
      <c r="E8">
        <f>YEAR(C8)</f>
      </c>
      <c r="F8" s="497">
        <f>EOMONTH(BASE!$A$18,0)</f>
      </c>
      <c r="G8" s="66">
        <f>IF(BASE!$B$18=1,BASE!$E$18/1000,"")</f>
      </c>
      <c r="H8" s="52"/>
      <c r="I8" s="496">
        <f>IF(BASE!$B$18=1,SUM($G$5:G8),"")</f>
      </c>
      <c r="K8" s="66">
        <f>IF(BASE!$B$18=1,G8,"")</f>
      </c>
    </row>
    <row r="9">
      <c r="C9" s="218">
        <f>EOMONTH(BASE!$A$19,0)</f>
      </c>
      <c r="D9">
        <f>VLOOKUP(MONTH(C9),$AE$16:$AF$27,2,0)</f>
      </c>
      <c r="E9">
        <f>YEAR(C9)</f>
      </c>
      <c r="F9" s="497">
        <f>EOMONTH(BASE!$A$19,0)</f>
      </c>
      <c r="G9" s="66">
        <f>IF(BASE!$B$19=1,BASE!$E$19/1000,"")</f>
      </c>
      <c r="H9" s="52"/>
      <c r="I9" s="496">
        <f>IF(BASE!$B$19=1,SUM($G$5:G9),"")</f>
      </c>
      <c r="K9" s="66">
        <f>IF(BASE!$B$19=1,G9,"")</f>
      </c>
    </row>
    <row r="10">
      <c r="C10" s="218">
        <f>EOMONTH(BASE!$A$20,0)</f>
      </c>
      <c r="D10">
        <f>VLOOKUP(MONTH(C10),$AE$16:$AF$27,2,0)</f>
      </c>
      <c r="E10">
        <f>YEAR(C10)</f>
      </c>
      <c r="F10" s="497">
        <f>EOMONTH(BASE!$A$20,0)</f>
      </c>
      <c r="G10" s="66">
        <f>IF(BASE!$B$20=1,BASE!$E$20/1000,"")</f>
      </c>
      <c r="H10" s="52"/>
      <c r="I10" s="496">
        <f>IF(BASE!$B$20=1,SUM($G$5:G10),"")</f>
      </c>
      <c r="K10" s="66">
        <f>IF(BASE!$B$20=1,G10,"")</f>
      </c>
    </row>
    <row r="11">
      <c r="C11" s="218">
        <f>EOMONTH(BASE!$A$21,0)</f>
      </c>
      <c r="D11">
        <f>VLOOKUP(MONTH(C11),$AE$16:$AF$27,2,0)</f>
      </c>
      <c r="E11">
        <f>YEAR(C11)</f>
      </c>
      <c r="F11" s="497">
        <f>EOMONTH(BASE!$A$21,0)</f>
      </c>
      <c r="G11" s="66">
        <f>IF(BASE!$B$21=1,BASE!$E$21/1000,"")</f>
      </c>
      <c r="H11" s="52"/>
      <c r="I11" s="496">
        <f>IF(BASE!$B$21=1,SUM($G$5:G11),"")</f>
      </c>
      <c r="K11" s="66">
        <f>IF(BASE!$B$21=1,G11,"")</f>
      </c>
    </row>
    <row r="12">
      <c r="C12" s="218">
        <f>EOMONTH(BASE!$A$22,0)</f>
      </c>
      <c r="D12">
        <f>VLOOKUP(MONTH(C12),$AE$16:$AF$27,2,0)</f>
      </c>
      <c r="E12">
        <f>YEAR(C12)</f>
      </c>
      <c r="F12" s="497">
        <f>EOMONTH(BASE!$A$22,0)</f>
      </c>
      <c r="G12" s="66">
        <f>IF(BASE!$B$22=1,BASE!$E$22/1000,"")</f>
      </c>
      <c r="H12" s="52"/>
      <c r="I12" s="496">
        <f>IF(BASE!$B$22=1,SUM($G$5:G12),"")</f>
      </c>
      <c r="K12" s="66">
        <f>IF(BASE!$B$22=1,G12,"")</f>
      </c>
    </row>
    <row r="13">
      <c r="C13" s="218">
        <f>EOMONTH(BASE!$A$23,0)</f>
      </c>
      <c r="D13">
        <f>VLOOKUP(MONTH(C13),$AE$16:$AF$27,2,0)</f>
      </c>
      <c r="E13">
        <f>YEAR(C13)</f>
      </c>
      <c r="F13" s="497">
        <f>EOMONTH(BASE!$A$23,0)</f>
      </c>
      <c r="G13" s="66">
        <f>IF(BASE!$B$23=1,BASE!$E$23/1000,"")</f>
      </c>
      <c r="H13" s="52"/>
      <c r="I13" s="496">
        <f>IF(BASE!$B$23=1,SUM($G$5:G13),"")</f>
      </c>
      <c r="K13" s="66">
        <f>IF(BASE!$B$23=1,G13,"")</f>
      </c>
    </row>
    <row r="14">
      <c r="C14" s="218">
        <f>EOMONTH(BASE!$A$24,0)</f>
      </c>
      <c r="D14">
        <f>VLOOKUP(MONTH(C14),$AE$16:$AF$27,2,0)</f>
      </c>
      <c r="E14">
        <f>YEAR(C14)</f>
      </c>
      <c r="F14" s="497">
        <f>EOMONTH(BASE!$A$24,0)</f>
      </c>
      <c r="G14" s="66">
        <f>IF(BASE!$B$24=1,BASE!$E$24/1000,"")</f>
      </c>
      <c r="H14" s="52"/>
      <c r="I14" s="496">
        <f>IF(BASE!$B$24=1,SUM($G$5:G14),"")</f>
      </c>
      <c r="K14" s="66">
        <f>IF(BASE!$B$24=1,G14,"")</f>
      </c>
    </row>
    <row r="15">
      <c r="C15" s="218">
        <f>EOMONTH(BASE!$A$25,0)</f>
      </c>
      <c r="D15">
        <f>VLOOKUP(MONTH(C15),$AE$16:$AF$27,2,0)</f>
      </c>
      <c r="E15">
        <f>YEAR(C15)</f>
      </c>
      <c r="F15" s="497">
        <f>EOMONTH(BASE!$A$25,0)</f>
      </c>
      <c r="G15" s="66">
        <f>IF(BASE!$B$25=1,BASE!$E$25/1000,"")</f>
      </c>
      <c r="H15" s="52"/>
      <c r="I15" s="496">
        <f>IF(BASE!$B$25=1,SUM($G$5:G15),"")</f>
      </c>
      <c r="K15" s="66">
        <f>IF(BASE!$B$25=1,G15,"")</f>
      </c>
    </row>
    <row r="16">
      <c r="C16" s="218">
        <f>EOMONTH(BASE!$A$26,0)</f>
      </c>
      <c r="D16">
        <f>VLOOKUP(MONTH(C16),$AE$16:$AF$27,2,0)</f>
      </c>
      <c r="E16">
        <f>YEAR(C16)</f>
      </c>
      <c r="F16" s="497">
        <f>EOMONTH(BASE!$A$26,0)</f>
      </c>
      <c r="G16" s="66">
        <f>IF(BASE!$B$26=1,BASE!$E$26/1000,"")</f>
      </c>
      <c r="H16" s="52"/>
      <c r="I16" s="496">
        <f>IF(BASE!$B$26=1,SUM($G$5:G16),"")</f>
      </c>
      <c r="K16" s="66">
        <f>IF(BASE!$B$26=1,G16,"")</f>
      </c>
      <c r="AE16">
        <v>1</v>
      </c>
      <c r="AF16" t="s">
        <v>16</v>
      </c>
    </row>
    <row r="17">
      <c r="C17" s="218">
        <f>EOMONTH(BASE!$A$27,0)</f>
      </c>
      <c r="D17">
        <f>VLOOKUP(MONTH(C17),$AE$16:$AF$27,2,0)</f>
      </c>
      <c r="E17">
        <f>YEAR(C17)</f>
      </c>
      <c r="F17" s="497">
        <f>EOMONTH(BASE!$A$27,0)</f>
      </c>
      <c r="G17" s="66">
        <f>IF(BASE!$B$27=1,BASE!$E$27/1000,"")</f>
      </c>
      <c r="H17" s="52"/>
      <c r="I17" s="496">
        <f>IF(BASE!$B$27=1,SUM($G$17:G17),"")</f>
      </c>
      <c r="K17" s="66">
        <f>IF(BASE!$B$27=1,G17,"")</f>
      </c>
      <c r="L17" s="66"/>
      <c r="AE17">
        <f>1+AE16</f>
      </c>
      <c r="AF17" t="s">
        <v>33</v>
      </c>
    </row>
    <row r="18">
      <c r="C18" s="218">
        <f>EOMONTH(BASE!$A$28,0)</f>
      </c>
      <c r="D18">
        <f>VLOOKUP(MONTH(C18),$AE$16:$AF$27,2,0)</f>
      </c>
      <c r="E18">
        <f>YEAR(C18)</f>
      </c>
      <c r="F18" s="497">
        <f>EOMONTH(BASE!$A$28,0)</f>
      </c>
      <c r="G18" s="66">
        <f>IF(BASE!$B$28=1,BASE!$E$28/1000,"")</f>
      </c>
      <c r="H18" s="52"/>
      <c r="I18" s="496">
        <f>IF(BASE!$B$28=1,SUM($G$17:G18),"")</f>
      </c>
      <c r="K18" s="66">
        <f>IF(BASE!$B$28=1,G18,"")</f>
      </c>
      <c r="AE18">
        <f>1+AE17</f>
      </c>
      <c r="AF18" t="s">
        <v>17</v>
      </c>
    </row>
    <row r="19">
      <c r="C19" s="218">
        <f>EOMONTH(BASE!$A$29,0)</f>
      </c>
      <c r="D19">
        <f>VLOOKUP(MONTH(C19),$AE$16:$AF$27,2,0)</f>
      </c>
      <c r="E19">
        <f>YEAR(C19)</f>
      </c>
      <c r="F19" s="497">
        <f>EOMONTH(BASE!$A$29,0)</f>
      </c>
      <c r="G19" s="66">
        <f>IF(BASE!$B$29=1,BASE!$E$29/1000,"")</f>
      </c>
      <c r="H19" s="52"/>
      <c r="I19" s="496">
        <f>IF(BASE!$B$29=1,SUM($G$17:G19),"")</f>
      </c>
      <c r="K19" s="66">
        <f>IF(BASE!$B$29=1,G19,"")</f>
      </c>
      <c r="AE19">
        <f>1+AE18</f>
      </c>
      <c r="AF19" t="s">
        <v>32</v>
      </c>
    </row>
    <row r="20">
      <c r="C20" s="218">
        <f>EOMONTH(BASE!$A$30,0)</f>
      </c>
      <c r="D20">
        <f>VLOOKUP(MONTH(C20),$AE$16:$AF$27,2,0)</f>
      </c>
      <c r="E20">
        <f>YEAR(C20)</f>
      </c>
      <c r="F20" s="497">
        <f>EOMONTH(BASE!$A$30,0)</f>
      </c>
      <c r="G20" s="66">
        <f>IF(BASE!$B$30=1,BASE!$E$30/1000,"")</f>
      </c>
      <c r="H20" s="52"/>
      <c r="I20" s="496">
        <f>IF(BASE!$B$30=1,SUM($G$17:G20),"")</f>
      </c>
      <c r="K20" s="66">
        <f>IF(BASE!$B$30=1,G20,"")</f>
      </c>
      <c r="AE20">
        <f>1+AE19</f>
      </c>
      <c r="AF20" t="s">
        <v>31</v>
      </c>
    </row>
    <row r="21">
      <c r="C21" s="218">
        <f>EOMONTH(BASE!$A$31,0)</f>
      </c>
      <c r="D21">
        <f>VLOOKUP(MONTH(C21),$AE$16:$AF$27,2,0)</f>
      </c>
      <c r="E21">
        <f>YEAR(C21)</f>
      </c>
      <c r="F21" s="497">
        <f>EOMONTH(BASE!$A$31,0)</f>
      </c>
      <c r="G21" s="66">
        <f>IF(BASE!$B$31=1,BASE!$E$31/1000,"")</f>
      </c>
      <c r="H21" s="52"/>
      <c r="I21" s="496">
        <f>IF(BASE!$B$31=1,SUM($G$17:G21),"")</f>
      </c>
      <c r="K21" s="66">
        <f>IF(BASE!$B$31=1,G21,"")</f>
      </c>
      <c r="AE21">
        <f>1+AE20</f>
      </c>
      <c r="AF21" t="s">
        <v>18</v>
      </c>
    </row>
    <row r="22">
      <c r="C22" s="218">
        <f>EOMONTH(BASE!$A$32,0)</f>
      </c>
      <c r="D22">
        <f>VLOOKUP(MONTH(C22),$AE$16:$AF$27,2,0)</f>
      </c>
      <c r="E22">
        <f>YEAR(C22)</f>
      </c>
      <c r="F22" s="497">
        <f>EOMONTH(BASE!$A$32,0)</f>
      </c>
      <c r="G22" s="66">
        <f>IF(BASE!$B$32=1,BASE!$E$32/1000,"")</f>
      </c>
      <c r="H22" s="52"/>
      <c r="I22" s="496">
        <f>IF(BASE!$B$32=1,SUM($G$17:G22),"")</f>
      </c>
      <c r="K22" s="66">
        <f>IF(BASE!$B$32=1,G22,"")</f>
      </c>
      <c r="AE22">
        <f>1+AE21</f>
      </c>
      <c r="AF22" t="s">
        <v>19</v>
      </c>
    </row>
    <row r="23">
      <c r="C23" s="218">
        <f>EOMONTH(BASE!$A$33,0)</f>
      </c>
      <c r="D23">
        <f>VLOOKUP(MONTH(C23),$AE$16:$AF$27,2,0)</f>
      </c>
      <c r="E23">
        <f>YEAR(C23)</f>
      </c>
      <c r="F23" s="497">
        <f>EOMONTH(BASE!$A$33,0)</f>
      </c>
      <c r="G23" s="66">
        <f>IF(BASE!$B$33=1,BASE!$E$33/1000,"")</f>
      </c>
      <c r="H23" s="52"/>
      <c r="I23" s="496">
        <f>IF(BASE!$B$33=1,SUM($G$17:G23),"")</f>
      </c>
      <c r="K23" s="66">
        <f>IF(BASE!$B$33=1,G23,"")</f>
      </c>
      <c r="AE23">
        <f>1+AE22</f>
      </c>
      <c r="AF23" t="s">
        <v>30</v>
      </c>
    </row>
    <row r="24">
      <c r="C24" s="218">
        <f>EOMONTH(BASE!$A$34,0)</f>
      </c>
      <c r="D24">
        <f>VLOOKUP(MONTH(C24),$AE$16:$AF$27,2,0)</f>
      </c>
      <c r="E24">
        <f>YEAR(C24)</f>
      </c>
      <c r="F24" s="497">
        <f>EOMONTH(BASE!$A$34,0)</f>
      </c>
      <c r="G24" s="66">
        <f>IF(BASE!$B$34=1,BASE!$E$34/1000,"")</f>
      </c>
      <c r="H24" s="52"/>
      <c r="I24" s="496">
        <f>IF(BASE!$B$34=1,SUM($G$17:G24),"")</f>
      </c>
      <c r="K24" s="66">
        <f>IF(BASE!$B$34=1,G24,"")</f>
      </c>
      <c r="AE24">
        <f>1+AE23</f>
      </c>
      <c r="AF24" t="s">
        <v>29</v>
      </c>
    </row>
    <row r="25">
      <c r="C25" s="218">
        <f>EOMONTH(BASE!$A$35,0)</f>
      </c>
      <c r="D25">
        <f>VLOOKUP(MONTH(C25),$AE$16:$AF$27,2,0)</f>
      </c>
      <c r="E25">
        <f>YEAR(C25)</f>
      </c>
      <c r="F25" s="497">
        <f>EOMONTH(BASE!$A$35,0)</f>
      </c>
      <c r="G25" s="66">
        <f>IF(BASE!$B$35=1,BASE!$E$35/1000,"")</f>
      </c>
      <c r="H25" s="52"/>
      <c r="I25" s="496">
        <f>IF(BASE!$B$35=1,SUM($G$17:G25),"")</f>
      </c>
      <c r="K25" s="66">
        <f>IF(BASE!$B$35=1,G25,"")</f>
      </c>
      <c r="AE25">
        <f>1+AE24</f>
      </c>
      <c r="AF25" t="s">
        <v>28</v>
      </c>
    </row>
    <row r="26">
      <c r="C26" s="218">
        <f>EOMONTH(BASE!$A$36,0)</f>
      </c>
      <c r="D26">
        <f>VLOOKUP(MONTH(C26),$AE$16:$AF$27,2,0)</f>
      </c>
      <c r="E26">
        <f>YEAR(C26)</f>
      </c>
      <c r="F26" s="497">
        <f>EOMONTH(BASE!$A$36,0)</f>
      </c>
      <c r="G26" s="66">
        <f>IF(BASE!$B$36=1,BASE!$E$36/1000,"")</f>
      </c>
      <c r="H26" s="52"/>
      <c r="I26" s="496">
        <f>IF(BASE!$B$36=1,SUM($G$17:G26),"")</f>
      </c>
      <c r="K26" s="66">
        <f>IF(BASE!$B$36=1,G26,"")</f>
      </c>
      <c r="AE26">
        <f>1+AE25</f>
      </c>
      <c r="AF26" t="s">
        <v>20</v>
      </c>
    </row>
    <row r="27">
      <c r="C27" s="218">
        <f>EOMONTH(BASE!$A$37,0)</f>
      </c>
      <c r="D27">
        <f>VLOOKUP(MONTH(C27),$AE$16:$AF$27,2,0)</f>
      </c>
      <c r="E27">
        <f>YEAR(C27)</f>
      </c>
      <c r="F27" s="497">
        <f>EOMONTH(BASE!$A$37,0)</f>
      </c>
      <c r="G27" s="66">
        <f>IF(BASE!$B$37=1,BASE!$E$37/1000,"")</f>
      </c>
      <c r="H27" s="52"/>
      <c r="I27" s="496">
        <f>IF(BASE!$B$37=1,SUM($G$17:G27),"")</f>
      </c>
      <c r="K27" s="66">
        <f>IF(BASE!$B$37=1,G27,"")</f>
      </c>
      <c r="AE27">
        <f>1+AE26</f>
      </c>
      <c r="AF27" t="s">
        <v>27</v>
      </c>
    </row>
    <row r="28">
      <c r="C28" s="218">
        <f>EOMONTH(BASE!$A$38,0)</f>
      </c>
      <c r="D28">
        <f>VLOOKUP(MONTH(C28),$AE$16:$AF$27,2,0)</f>
      </c>
      <c r="E28">
        <f>YEAR(C28)</f>
      </c>
      <c r="F28" s="497">
        <f>EOMONTH(BASE!$A$38,0)</f>
      </c>
      <c r="G28" s="66">
        <f>IF(BASE!$B$38=1,BASE!$E$38/1000,"")</f>
      </c>
      <c r="H28" s="52"/>
      <c r="I28" s="496">
        <f>IF(BASE!$B$38=1,SUM($G$17:G28),"")</f>
      </c>
      <c r="K28" s="66">
        <f>IF(BASE!$B$38=1,G28,"")</f>
      </c>
    </row>
    <row r="29">
      <c r="C29" s="218"/>
      <c r="D29" s="1053"/>
    </row>
    <row r="30">
      <c r="C30" s="218"/>
      <c r="D30" s="1053"/>
    </row>
    <row r="31">
      <c r="C31" s="218"/>
      <c r="D31" s="1053"/>
    </row>
    <row r="32">
      <c r="C32" s="218"/>
      <c r="D32" s="1053"/>
    </row>
    <row r="33">
      <c r="C33" s="218"/>
      <c r="D33" s="1053"/>
      <c r="M33" s="496"/>
    </row>
    <row r="34">
      <c r="C34" s="218"/>
      <c r="D34" s="1053"/>
    </row>
    <row r="35">
      <c r="C35" s="218"/>
      <c r="D35" s="1053"/>
    </row>
    <row r="36">
      <c r="C36" s="218"/>
      <c r="D36" s="1053"/>
    </row>
    <row r="37">
      <c r="C37" s="218"/>
      <c r="D37" s="1053"/>
    </row>
    <row r="38">
      <c r="C38" s="218"/>
      <c r="D38" s="1053"/>
    </row>
    <row r="39">
      <c r="C39" s="218"/>
      <c r="D39" s="1053"/>
    </row>
    <row r="40">
      <c r="C40" s="218"/>
      <c r="D40" s="1053"/>
    </row>
  </sheetData>
  <mergeCells count="1">
    <mergeCell ref="G2:J2"/>
  </mergeCell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1756-D3C1-4E7A-B349-80A17C3F4ABF}">
  <sheetPr>
    <tabColor theme="1"/>
  </sheetPr>
  <dimension ref="A1"/>
  <sheetViews>
    <sheetView showGridLines="0" workbookViewId="0"/>
  </sheetViews>
  <sheetFormatPr defaultRowHeight="14.4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E54C-E3CD-4864-8D18-5EA06415262E}">
  <dimension ref="A1:G27"/>
  <sheetViews>
    <sheetView showGridLines="0" zoomScale="85" zoomScaleNormal="85" workbookViewId="0">
      <pane xSplit="1" topLeftCell="B1" activePane="topRight" state="frozen"/>
    </sheetView>
  </sheetViews>
  <sheetFormatPr defaultColWidth="16.88671875" defaultRowHeight="17.399999999999999"/>
  <cols>
    <col min="1" max="1" width="9.6640625" style="110" bestFit="1" customWidth="1"/>
    <col min="2" max="5" width="12.5546875" style="110" bestFit="1" customWidth="1"/>
    <col min="6" max="6" width="18.6640625" style="110" bestFit="1" customWidth="1"/>
    <col min="7" max="7" width="18.33203125" style="110" bestFit="1" customWidth="1"/>
    <col min="8" max="16384" width="16.88671875" style="110"/>
  </cols>
  <sheetData>
    <row r="1" ht="18" thickBot="1">
      <c r="A1" s="1195"/>
      <c r="B1" s="1191" t="s">
        <v>12</v>
      </c>
      <c r="C1" s="1192"/>
      <c r="D1" s="1191" t="s">
        <v>45</v>
      </c>
      <c r="E1" s="1192"/>
      <c r="F1" s="1193" t="s">
        <v>11</v>
      </c>
      <c r="G1" s="1194"/>
    </row>
    <row r="2" ht="18" thickBot="1">
      <c r="A2" s="1196"/>
      <c r="B2" s="1102" t="s">
        <v>116</v>
      </c>
      <c r="C2" s="1103" t="s">
        <v>57</v>
      </c>
      <c r="D2" s="1103" t="s">
        <v>116</v>
      </c>
      <c r="E2" s="1103" t="s">
        <v>57</v>
      </c>
      <c r="F2" s="1104" t="s">
        <v>24</v>
      </c>
      <c r="G2" s="1105" t="s">
        <v>117</v>
      </c>
    </row>
    <row r="3">
      <c r="A3" s="1093">
        <f>BASE!$A$14</f>
      </c>
      <c r="B3" s="1094">
        <f>IF(BASE!$B$14=1,BASE!$G$14/1000,"")</f>
      </c>
      <c r="C3" s="1094">
        <f>IF(BASE!$B$14=1,BASE!$H$14/1000,"")</f>
      </c>
      <c r="D3" s="1094">
        <f>B3</f>
      </c>
      <c r="E3" s="1095">
        <f>C3</f>
      </c>
      <c r="F3" s="1106">
        <f>IF(BASE!$B$14=1,SUM(B3:C3),"")</f>
      </c>
      <c r="G3" s="1109">
        <v>0</v>
      </c>
    </row>
    <row r="4">
      <c r="A4" s="1096">
        <f>BASE!$A$15</f>
      </c>
      <c r="B4" s="1092">
        <f>IF(BASE!$B$15=1,BASE!$G$15/1000,"")</f>
      </c>
      <c r="C4" s="1092">
        <f>IF(BASE!$B$15=1,BASE!$H$15/1000,"")</f>
      </c>
      <c r="D4" s="1092">
        <f>IF(BASE!$B$15=1,B4-B3,"")</f>
      </c>
      <c r="E4" s="1097">
        <f>IF(BASE!$B$15=1,C4-C3,"")</f>
      </c>
      <c r="F4" s="1107">
        <f>IF(BASE!$B$15=1,SUM(B4:C4),"")</f>
      </c>
      <c r="G4" s="1110">
        <f>IF(BASE!$B$15=1,IFERROR(F4/F3-1,0),"")</f>
      </c>
    </row>
    <row r="5">
      <c r="A5" s="1096">
        <f>BASE!$A$16</f>
      </c>
      <c r="B5" s="1092">
        <f>IF(BASE!$B$16=1,BASE!$G$16/1000,"")</f>
      </c>
      <c r="C5" s="1092">
        <f>IF(BASE!$B$16=1,BASE!$H$16/1000,"")</f>
      </c>
      <c r="D5" s="1092">
        <f>IF(BASE!$B$16=1,B5-B4,"")</f>
      </c>
      <c r="E5" s="1097">
        <f>IF(BASE!$B$16=1,C5-C4,"")</f>
      </c>
      <c r="F5" s="1107">
        <f>IF(BASE!$B$16=1,SUM(B5:C5),"")</f>
      </c>
      <c r="G5" s="1110">
        <f>IF(BASE!$B$16=1,IFERROR(F5/F4-1,0),"")</f>
      </c>
    </row>
    <row r="6">
      <c r="A6" s="1096">
        <f>BASE!$A$17</f>
      </c>
      <c r="B6" s="1092">
        <f>IF(BASE!$B$17=1,BASE!$G$17/1000,"")</f>
      </c>
      <c r="C6" s="1092">
        <f>IF(BASE!$B$17=1,BASE!$H$17/1000,"")</f>
      </c>
      <c r="D6" s="1092">
        <f>IF(BASE!$B$17=1,B6-B5,"")</f>
      </c>
      <c r="E6" s="1097">
        <f>IF(BASE!$B$17=1,C6-C5,"")</f>
      </c>
      <c r="F6" s="1107">
        <f>IF(BASE!$B$17=1,SUM(B6:C6),"")</f>
      </c>
      <c r="G6" s="1110">
        <f>IF(BASE!$B$17=1,IFERROR(F6/F5-1,0),"")</f>
      </c>
    </row>
    <row r="7">
      <c r="A7" s="1096">
        <f>BASE!$A$18</f>
      </c>
      <c r="B7" s="1092">
        <f>IF(BASE!$B$18=1,BASE!$G$18/1000,"")</f>
      </c>
      <c r="C7" s="1092">
        <f>IF(BASE!$B$18=1,BASE!$H$18/1000,"")</f>
      </c>
      <c r="D7" s="1092">
        <f>IF(BASE!$B$18=1,B7-B6,"")</f>
      </c>
      <c r="E7" s="1097">
        <f>IF(BASE!$B$18=1,C7-C6,"")</f>
      </c>
      <c r="F7" s="1107">
        <f>IF(BASE!$B$18=1,SUM(B7:C7),"")</f>
      </c>
      <c r="G7" s="1110">
        <f>IF(BASE!$B$18=1,IFERROR(F7/F6-1,0),"")</f>
      </c>
    </row>
    <row r="8">
      <c r="A8" s="1096">
        <f>BASE!$A$19</f>
      </c>
      <c r="B8" s="1092">
        <f>IF(BASE!$B$19=1,BASE!$G$19/1000,"")</f>
      </c>
      <c r="C8" s="1092">
        <f>IF(BASE!$B$19=1,BASE!$H$19/1000,"")</f>
      </c>
      <c r="D8" s="1092">
        <f>IF(BASE!$B$19=1,B8-B7,"")</f>
      </c>
      <c r="E8" s="1097">
        <f>IF(BASE!$B$19=1,C8-C7,"")</f>
      </c>
      <c r="F8" s="1107">
        <f>IF(BASE!$B$19=1,SUM(B8:C8),"")</f>
      </c>
      <c r="G8" s="1110">
        <f>IF(BASE!$B$19=1,IFERROR(F8/F7-1,0),"")</f>
      </c>
    </row>
    <row r="9">
      <c r="A9" s="1096">
        <f>BASE!$A$20</f>
      </c>
      <c r="B9" s="1092">
        <f>IF(BASE!$B$20=1,BASE!$G$20/1000,"")</f>
      </c>
      <c r="C9" s="1092">
        <f>IF(BASE!$B$20=1,BASE!$H$20/1000,"")</f>
      </c>
      <c r="D9" s="1092">
        <f>IF(BASE!$B$20=1,B9-B8,"")</f>
      </c>
      <c r="E9" s="1097">
        <f>IF(BASE!$B$20=1,C9-C8,"")</f>
      </c>
      <c r="F9" s="1107">
        <f>IF(BASE!$B$20=1,SUM(B9:C9),"")</f>
      </c>
      <c r="G9" s="1110">
        <f>IF(BASE!$B$20=1,IFERROR(F9/F8-1,0),"")</f>
      </c>
    </row>
    <row r="10">
      <c r="A10" s="1096">
        <f>BASE!$A$21</f>
      </c>
      <c r="B10" s="1092">
        <f>IF(BASE!$B$21=1,BASE!$G$21/1000,"")</f>
      </c>
      <c r="C10" s="1092">
        <f>IF(BASE!$B$21=1,BASE!$H$21/1000,"")</f>
      </c>
      <c r="D10" s="1092">
        <f>IF(BASE!$B$21=1,B10-B9,"")</f>
      </c>
      <c r="E10" s="1097">
        <f>IF(BASE!$B$21=1,C10-C9,"")</f>
      </c>
      <c r="F10" s="1107">
        <f>IF(BASE!$B$21=1,SUM(B10:C10),"")</f>
      </c>
      <c r="G10" s="1110">
        <f>IF(BASE!$B$21=1,IFERROR(F10/F9-1,0),"")</f>
      </c>
    </row>
    <row r="11">
      <c r="A11" s="1096">
        <f>BASE!$A$22</f>
      </c>
      <c r="B11" s="1092">
        <f>IF(BASE!$B$22=1,BASE!$G$22/1000,"")</f>
      </c>
      <c r="C11" s="1092">
        <f>IF(BASE!$B$22=1,BASE!$H$22/1000,"")</f>
      </c>
      <c r="D11" s="1092">
        <f>IF(BASE!$B$22=1,B11-B10,"")</f>
      </c>
      <c r="E11" s="1097">
        <f>IF(BASE!$B$22=1,C11-C10,"")</f>
      </c>
      <c r="F11" s="1107">
        <f>IF(BASE!$B$22=1,SUM(B11:C11),"")</f>
      </c>
      <c r="G11" s="1110">
        <f>IF(BASE!$B$22=1,IFERROR(F11/F10-1,0),"")</f>
      </c>
    </row>
    <row r="12">
      <c r="A12" s="1096">
        <f>BASE!$A$23</f>
      </c>
      <c r="B12" s="1092">
        <f>IF(BASE!$B$23=1,BASE!$G$23/1000,"")</f>
      </c>
      <c r="C12" s="1092">
        <f>IF(BASE!$B$23=1,BASE!$H$23/1000,"")</f>
      </c>
      <c r="D12" s="1092">
        <f>IF(BASE!$B$23=1,B12-B11,"")</f>
      </c>
      <c r="E12" s="1097">
        <f>IF(BASE!$B$23=1,C12-C11,"")</f>
      </c>
      <c r="F12" s="1107">
        <f>IF(BASE!$B$23=1,SUM(B12:C12),"")</f>
      </c>
      <c r="G12" s="1110">
        <f>IF(BASE!$B$23=1,IFERROR(F12/F11-1,0),"")</f>
      </c>
    </row>
    <row r="13">
      <c r="A13" s="1096">
        <f>BASE!$A$24</f>
      </c>
      <c r="B13" s="1092">
        <f>IF(BASE!$B$24=1,BASE!$G$24/1000,"")</f>
      </c>
      <c r="C13" s="1092">
        <f>IF(BASE!$B$24=1,BASE!$H$24/1000,"")</f>
      </c>
      <c r="D13" s="1092">
        <f>IF(BASE!$B$24=1,B13-B12,"")</f>
      </c>
      <c r="E13" s="1097">
        <f>IF(BASE!$B$24=1,C13-C12,"")</f>
      </c>
      <c r="F13" s="1107">
        <f>IF(BASE!$B$24=1,SUM(B13:C13),"")</f>
      </c>
      <c r="G13" s="1110">
        <f>IF(BASE!$B$24=1,IFERROR(F13/F12-1,0),"")</f>
      </c>
    </row>
    <row r="14">
      <c r="A14" s="1096">
        <f>BASE!$A$25</f>
      </c>
      <c r="B14" s="1092">
        <f>IF(BASE!$B$25=1,BASE!$G$25/1000,"")</f>
      </c>
      <c r="C14" s="1092">
        <f>IF(BASE!$B$25=1,BASE!$H$25/1000,"")</f>
      </c>
      <c r="D14" s="1092">
        <f>IF(BASE!$B$25=1,B14-B13,"")</f>
      </c>
      <c r="E14" s="1097">
        <f>IF(BASE!$B$25=1,C14-C13,"")</f>
      </c>
      <c r="F14" s="1107">
        <f>IF(BASE!$B$25=1,SUM(B14:C14),"")</f>
      </c>
      <c r="G14" s="1110">
        <f>IF(BASE!$B$25=1,IFERROR(F14/F13-1,0),"")</f>
      </c>
    </row>
    <row r="15">
      <c r="A15" s="1096">
        <f>BASE!$A$26</f>
      </c>
      <c r="B15" s="1092">
        <f>IF(BASE!$B$26=1,BASE!$G$26/1000,"")</f>
      </c>
      <c r="C15" s="1092">
        <f>IF(BASE!$B$26=1,BASE!$H$26/1000,"")</f>
      </c>
      <c r="D15" s="1092">
        <f>IF(BASE!$B$26=1,B15-B14,"")</f>
      </c>
      <c r="E15" s="1097">
        <f>IF(BASE!$B$26=1,C15-C14,"")</f>
      </c>
      <c r="F15" s="1107">
        <f>IF(BASE!$B$26=1,SUM(B15:C15),"")</f>
      </c>
      <c r="G15" s="1110">
        <f>IF(BASE!$B$26=1,IFERROR(F15/F14-1,0),"")</f>
      </c>
    </row>
    <row r="16">
      <c r="A16" s="1096">
        <f>BASE!$A$27</f>
      </c>
      <c r="B16" s="1092">
        <f>IF(BASE!$B$27=1,BASE!$G$27/1000,"")</f>
      </c>
      <c r="C16" s="1092">
        <f>IF(BASE!$B$27=1,BASE!$H$27/1000,"")</f>
      </c>
      <c r="D16" s="1092">
        <f>IF(BASE!$B$27=1,B16-B15,"")</f>
      </c>
      <c r="E16" s="1097">
        <f>IF(BASE!$B$27=1,C16-C15,"")</f>
      </c>
      <c r="F16" s="1107">
        <f>IF(BASE!$B$27=1,SUM(B16:C16),"")</f>
      </c>
      <c r="G16" s="1110">
        <f>IF(BASE!$B$27=1,IFERROR(F16/F15-1,0),"")</f>
      </c>
    </row>
    <row r="17">
      <c r="A17" s="1096">
        <f>BASE!$A$28</f>
      </c>
      <c r="B17" s="1092">
        <f>IF(BASE!$B$28=1,BASE!$G$28/1000,"")</f>
      </c>
      <c r="C17" s="1092">
        <f>IF(BASE!$B$28=1,BASE!$H$28/1000,"")</f>
      </c>
      <c r="D17" s="1092">
        <f>IF(BASE!$B$28=1,B17-B16,"")</f>
      </c>
      <c r="E17" s="1097">
        <f>IF(BASE!$B$28=1,C17-C16,"")</f>
      </c>
      <c r="F17" s="1107">
        <f>IF(BASE!$B$28=1,SUM(B17:C17),"")</f>
      </c>
      <c r="G17" s="1110">
        <f>IF(BASE!$B$28=1,IFERROR(F17/F16-1,0),"")</f>
      </c>
    </row>
    <row r="18">
      <c r="A18" s="1096">
        <f>BASE!$A$29</f>
      </c>
      <c r="B18" s="1092">
        <f>IF(BASE!$B$29=1,BASE!$G$29/1000,"")</f>
      </c>
      <c r="C18" s="1092">
        <f>IF(BASE!$B$29=1,BASE!$H$29/1000,"")</f>
      </c>
      <c r="D18" s="1092">
        <f>IF(BASE!$B$29=1,B18-B17,"")</f>
      </c>
      <c r="E18" s="1097">
        <f>IF(BASE!$B$29=1,C18-C17,"")</f>
      </c>
      <c r="F18" s="1107">
        <f>IF(BASE!$B$29=1,SUM(B18:C18),"")</f>
      </c>
      <c r="G18" s="1110">
        <f>IF(BASE!$B$29=1,IFERROR(F18/F17-1,0),"")</f>
      </c>
    </row>
    <row r="19">
      <c r="A19" s="1096">
        <f>BASE!$A$30</f>
      </c>
      <c r="B19" s="1091">
        <f>IF(BASE!$B$30=1,BASE!$G$30/1000,"")</f>
      </c>
      <c r="C19" s="1091">
        <f>IF(BASE!$B$30=1,BASE!$H$30/1000,"")</f>
      </c>
      <c r="D19" s="1092">
        <f>IF(BASE!$B$30=1,B19-B18,"")</f>
      </c>
      <c r="E19" s="1097">
        <f>IF(BASE!$B$30=1,C19-C18,"")</f>
      </c>
      <c r="F19" s="1107">
        <f>IF(BASE!$B$30=1,SUM(B19:C19),"")</f>
      </c>
      <c r="G19" s="1110">
        <f>IF(BASE!$B$30=1,IFERROR(F19/F18-1,0),"")</f>
      </c>
    </row>
    <row r="20">
      <c r="A20" s="1096">
        <f>BASE!$A$31</f>
      </c>
      <c r="B20" s="1091">
        <f>IF(BASE!$B$31=1,BASE!$G$31/1000,"")</f>
      </c>
      <c r="C20" s="1091">
        <f>IF(BASE!$B$31=1,BASE!$H$31/1000,"")</f>
      </c>
      <c r="D20" s="1092">
        <f>IF(BASE!$B$31=1,B20-B19,"")</f>
      </c>
      <c r="E20" s="1097">
        <f>IF(BASE!$B$31=1,C20-C19,"")</f>
      </c>
      <c r="F20" s="1107">
        <f>IF(BASE!$B$31=1,SUM(B20:C20),"")</f>
      </c>
      <c r="G20" s="1110">
        <f>IF(BASE!$B$31=1,IFERROR(F20/F19-1,0),"")</f>
      </c>
    </row>
    <row r="21">
      <c r="A21" s="1096">
        <f>BASE!$A$32</f>
      </c>
      <c r="B21" s="1091">
        <f>IF(BASE!$B$32=1,BASE!$G$32/1000,"")</f>
      </c>
      <c r="C21" s="1091">
        <f>IF(BASE!$B$32=1,BASE!$H$32/1000,"")</f>
      </c>
      <c r="D21" s="1092">
        <f>IF(BASE!$B$32=1,B21-B20,"")</f>
      </c>
      <c r="E21" s="1097">
        <f>IF(BASE!$B$32=1,C21-C20,"")</f>
      </c>
      <c r="F21" s="1107">
        <f>IF(BASE!$B$32=1,SUM(B21:C21),"")</f>
      </c>
      <c r="G21" s="1110">
        <f>IF(BASE!$B$32=1,IFERROR(F21/F20-1,0),"")</f>
      </c>
    </row>
    <row r="22">
      <c r="A22" s="1096">
        <f>BASE!$A$33</f>
      </c>
      <c r="B22" s="1091">
        <f>IF(BASE!$B$33=1,BASE!$G$33/1000,"")</f>
      </c>
      <c r="C22" s="1091">
        <f>IF(BASE!$B$33=1,BASE!$H$33/1000,"")</f>
      </c>
      <c r="D22" s="1092">
        <f>IF(BASE!$B$33=1,B22-B21,"")</f>
      </c>
      <c r="E22" s="1097">
        <f>IF(BASE!$B$33=1,C22-C21,"")</f>
      </c>
      <c r="F22" s="1107">
        <f>IF(BASE!$B$33=1,SUM(B22:C22),"")</f>
      </c>
      <c r="G22" s="1110">
        <f>IF(BASE!$B$33=1,IFERROR(F22/F21-1,0),"")</f>
      </c>
    </row>
    <row r="23">
      <c r="A23" s="1096">
        <f>BASE!$A$34</f>
      </c>
      <c r="B23" s="1091">
        <f>IF(BASE!$B$34=1,BASE!$G$34/1000,"")</f>
      </c>
      <c r="C23" s="1091">
        <f>IF(BASE!$B$34=1,BASE!$H$34/1000,"")</f>
      </c>
      <c r="D23" s="1092">
        <f>IF(BASE!$B$34=1,B23-B22,"")</f>
      </c>
      <c r="E23" s="1097">
        <f>IF(BASE!$B$34=1,C23-C22,"")</f>
      </c>
      <c r="F23" s="1107">
        <f>IF(BASE!$B$34=1,SUM(B23:C23),"")</f>
      </c>
      <c r="G23" s="1110">
        <f>IF(BASE!$B$34=1,IFERROR(F23/F22-1,0),"")</f>
      </c>
    </row>
    <row r="24">
      <c r="A24" s="1096">
        <f>BASE!$A$35</f>
      </c>
      <c r="B24" s="1091">
        <f>IF(BASE!$B$35=1,BASE!$G$35/1000,"")</f>
      </c>
      <c r="C24" s="1091">
        <f>IF(BASE!$B$35=1,BASE!$H$35/1000,"")</f>
      </c>
      <c r="D24" s="1092">
        <f>IF(BASE!$B$35=1,B24-B23,"")</f>
      </c>
      <c r="E24" s="1097">
        <f>IF(BASE!$B$35=1,C24-C23,"")</f>
      </c>
      <c r="F24" s="1107">
        <f>IF(BASE!$B$35=1,SUM(B24:C24),"")</f>
      </c>
      <c r="G24" s="1110">
        <f>IF(BASE!$B$35=1,IFERROR(F24/F23-1,0),"")</f>
      </c>
    </row>
    <row r="25">
      <c r="A25" s="1096">
        <f>BASE!$A$36</f>
      </c>
      <c r="B25" s="1091">
        <f>IF(BASE!$B$36=1,BASE!$G$36/1000,"")</f>
      </c>
      <c r="C25" s="1091">
        <f>IF(BASE!$B$36=1,BASE!$H$36/1000,"")</f>
      </c>
      <c r="D25" s="1092">
        <f>IF(BASE!$B$36=1,B25-B24,"")</f>
      </c>
      <c r="E25" s="1097">
        <f>IF(BASE!$B$36=1,C25-C24,"")</f>
      </c>
      <c r="F25" s="1107">
        <f>IF(BASE!$B$36=1,SUM(B25:C25),"")</f>
      </c>
      <c r="G25" s="1110">
        <f>IF(BASE!$B$36=1,IFERROR(F25/F24-1,0),"")</f>
      </c>
    </row>
    <row r="26">
      <c r="A26" s="1096">
        <f>BASE!$A$37</f>
      </c>
      <c r="B26" s="1091">
        <f>IF(BASE!$B$37=1,BASE!$G$37/1000,"")</f>
      </c>
      <c r="C26" s="1091">
        <f>IF(BASE!$B$37=1,BASE!$H$37/1000,"")</f>
      </c>
      <c r="D26" s="1092">
        <f>IF(BASE!$B$37=1,B26-B25,"")</f>
      </c>
      <c r="E26" s="1097">
        <f>IF(BASE!$B$37=1,C26-C25,"")</f>
      </c>
      <c r="F26" s="1107">
        <f>IF(BASE!$B$37=1,SUM(B26:C26),"")</f>
      </c>
      <c r="G26" s="1110">
        <f>IF(BASE!$B$37=1,IFERROR(F26/F25-1,0),"")</f>
      </c>
    </row>
    <row r="27" ht="18" thickBot="1">
      <c r="A27" s="1098">
        <f>BASE!$A$38</f>
      </c>
      <c r="B27" s="1099">
        <f>IF(BASE!$B$38=1,BASE!$G$38/1000,"")</f>
      </c>
      <c r="C27" s="1099">
        <f>IF(BASE!$B$38=1,BASE!$H$38/1000,"")</f>
      </c>
      <c r="D27" s="1100">
        <f>IF(BASE!$B$38=1,B27-B26,"")</f>
      </c>
      <c r="E27" s="1101">
        <f>IF(BASE!$B$38=1,C27-C26,"")</f>
      </c>
      <c r="F27" s="1108">
        <f>IF(BASE!$B$38=1,SUM(B27:C27),"")</f>
      </c>
      <c r="G27" s="1111">
        <f>IF(BASE!$B$38=1,IFERROR(F27/F26-1,0),"")</f>
      </c>
    </row>
  </sheetData>
  <mergeCells count="4">
    <mergeCell ref="B1:C1"/>
    <mergeCell ref="D1:E1"/>
    <mergeCell ref="F1:G1"/>
    <mergeCell ref="A1:A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1CA6-4B4E-46DF-B22A-21899408DCA0}">
  <dimension ref="B1:AC17"/>
  <sheetViews>
    <sheetView showGridLines="0" zoomScale="80" zoomScaleNormal="80" workbookViewId="0">
      <pane xSplit="4" ySplit="3" topLeftCell="N4" activePane="bottomRight" state="frozen"/>
    </sheetView>
  </sheetViews>
  <sheetFormatPr defaultColWidth="9.109375" defaultRowHeight="17.399999999999999" outlineLevelRow="1" outlineLevelCol="1"/>
  <cols>
    <col min="1" max="1" width="2.6640625" style="110" customWidth="1"/>
    <col min="2" max="2" width="21.44140625" style="110" customWidth="1"/>
    <col min="3" max="3" width="10.6640625" style="110" hidden="1" customWidth="1"/>
    <col min="4" max="4" width="10.6640625" style="111" hidden="1" customWidth="1"/>
    <col min="5" max="7" width="10.6640625" style="110" hidden="1" customWidth="1" outlineLevel="1" collapsed="1"/>
    <col min="8" max="8" width="10.6640625" style="110" hidden="1" customWidth="1" outlineLevel="1"/>
    <col min="9" max="11" width="10.6640625" style="110" hidden="1" customWidth="1" outlineLevel="1" collapsed="1"/>
    <col min="12" max="12" width="10.6640625" style="110" hidden="1" customWidth="1" outlineLevel="1"/>
    <col min="13" max="13" width="10.6640625" style="110" hidden="1" customWidth="1" outlineLevel="1" collapsed="1"/>
    <col min="14" max="15" width="10.6640625" style="110" customWidth="1" collapsed="1"/>
    <col min="16" max="16" width="13" style="110" bestFit="1" customWidth="1" collapsed="1"/>
    <col min="17" max="17" width="10.6640625" style="110" customWidth="1"/>
    <col min="18" max="18" width="9.6640625" style="110" bestFit="1" customWidth="1"/>
    <col min="19" max="19" width="10" style="110" bestFit="1" customWidth="1"/>
    <col min="20" max="20" width="9.44140625" style="110" bestFit="1" customWidth="1"/>
    <col min="21" max="21" width="9.109375" style="110"/>
    <col min="22" max="22" width="8.88671875" style="110" bestFit="1" customWidth="1"/>
    <col min="23" max="23" width="10.33203125" style="110" bestFit="1" customWidth="1"/>
    <col min="24" max="25" width="9.109375" style="110"/>
    <col min="26" max="26" width="9.88671875" style="110" bestFit="1" customWidth="1"/>
    <col min="27" max="27" width="11.109375" style="110" bestFit="1" customWidth="1"/>
    <col min="28" max="28" width="10" style="110" bestFit="1" customWidth="1"/>
    <col min="29" max="29" width="13.109375" style="110" bestFit="1" customWidth="1"/>
    <col min="30" max="16384" width="9.109375" style="110"/>
  </cols>
  <sheetData>
    <row r="1" ht="18" thickBot="1"/>
    <row r="2" ht="18" thickBot="1">
      <c r="B2" s="133" t="s">
        <v>56</v>
      </c>
      <c r="C2" s="120"/>
      <c r="D2" s="121"/>
      <c r="E2" s="117"/>
      <c r="F2" s="117"/>
      <c r="G2" s="117"/>
      <c r="H2" s="118"/>
      <c r="I2" s="117"/>
      <c r="J2" s="117"/>
      <c r="K2" s="117"/>
      <c r="L2" s="118"/>
      <c r="M2" s="117"/>
      <c r="N2" s="1057">
        <f>BASE!$A$27</f>
      </c>
      <c r="O2" s="1057">
        <f>BASE!$A$28</f>
      </c>
      <c r="P2" s="1057">
        <f>BASE!$A$29</f>
      </c>
      <c r="Q2" s="118" t="s">
        <v>93</v>
      </c>
      <c r="R2" s="1057">
        <f>BASE!$A$30</f>
      </c>
      <c r="S2" s="1057">
        <f>BASE!$A$31</f>
      </c>
      <c r="T2" s="1057">
        <f>BASE!$A$32</f>
      </c>
      <c r="U2" s="118" t="s">
        <v>94</v>
      </c>
      <c r="V2" s="1057">
        <f>BASE!$A$33</f>
      </c>
      <c r="W2" s="1057">
        <f>BASE!$A$34</f>
      </c>
      <c r="X2" s="1057">
        <f>BASE!$A$35</f>
      </c>
      <c r="Y2" s="118" t="s">
        <v>95</v>
      </c>
      <c r="Z2" s="1057">
        <f>BASE!$A$36</f>
      </c>
      <c r="AA2" s="1057">
        <f>BASE!$A$37</f>
      </c>
      <c r="AB2" s="1057">
        <f>BASE!$A$38</f>
      </c>
      <c r="AC2" s="118" t="s">
        <v>96</v>
      </c>
    </row>
    <row r="3" ht="18" thickBot="1">
      <c r="B3" s="104" t="s">
        <v>55</v>
      </c>
      <c r="C3" s="106"/>
      <c r="D3" s="105"/>
      <c r="E3" s="132"/>
      <c r="F3" s="132"/>
      <c r="G3" s="132"/>
      <c r="H3" s="132"/>
      <c r="I3" s="132"/>
      <c r="J3" s="132"/>
      <c r="K3" s="132"/>
      <c r="L3" s="132"/>
      <c r="M3" s="132"/>
      <c r="N3" s="132" t="s">
        <v>12</v>
      </c>
      <c r="O3" s="132" t="s">
        <v>12</v>
      </c>
      <c r="P3" s="132" t="s">
        <v>12</v>
      </c>
      <c r="Q3" s="132" t="s">
        <v>12</v>
      </c>
      <c r="R3" s="132" t="s">
        <v>12</v>
      </c>
      <c r="S3" s="132" t="s">
        <v>12</v>
      </c>
      <c r="T3" s="132" t="s">
        <v>12</v>
      </c>
      <c r="U3" s="132" t="s">
        <v>12</v>
      </c>
      <c r="V3" s="132" t="s">
        <v>12</v>
      </c>
      <c r="W3" s="132" t="s">
        <v>12</v>
      </c>
      <c r="X3" s="132" t="s">
        <v>12</v>
      </c>
      <c r="Y3" s="132" t="s">
        <v>12</v>
      </c>
      <c r="Z3" s="132" t="s">
        <v>12</v>
      </c>
      <c r="AA3" s="132" t="s">
        <v>12</v>
      </c>
      <c r="AB3" s="132" t="s">
        <v>12</v>
      </c>
      <c r="AC3" s="132" t="s">
        <v>12</v>
      </c>
    </row>
    <row r="4">
      <c r="B4" s="97" t="s">
        <v>23</v>
      </c>
      <c r="C4" s="94">
        <f>SUM(C5:C8)</f>
      </c>
      <c r="D4" s="131">
        <f>SUM(D5:D8)</f>
      </c>
      <c r="E4" s="130"/>
      <c r="F4" s="130"/>
      <c r="G4" s="130"/>
      <c r="H4" s="130"/>
      <c r="I4" s="130"/>
      <c r="J4" s="130"/>
      <c r="K4" s="130"/>
      <c r="L4" s="130"/>
      <c r="M4" s="130"/>
      <c r="N4" s="130">
        <f>IF(BASE!$B$27=1,SUM(N5:N8),"")</f>
      </c>
      <c r="O4" s="130">
        <f>IF(BASE!$B$28=1,SUM(O5:O8),"")</f>
      </c>
      <c r="P4" s="130">
        <f>IF(BASE!$B$29=1,SUM(P5:P8),"")</f>
      </c>
      <c r="Q4" s="127">
        <f>IFERROR(AVERAGE(N4:P4),"")</f>
      </c>
      <c r="R4" s="130">
        <f>IF(BASE!$B$30=1,SUM(R5:R8),"")</f>
      </c>
      <c r="S4" s="130">
        <f>IF(BASE!$B$31=1,SUM(S5:S8),"")</f>
      </c>
      <c r="T4" s="130">
        <f>IF(BASE!$B$32=1,SUM(T5:T8),"")</f>
      </c>
      <c r="U4" s="127">
        <f>IFERROR(AVERAGE(R4:T4),"")</f>
      </c>
      <c r="V4" s="130">
        <f>IF(BASE!$B$33=1,SUM(V5:V8),"")</f>
      </c>
      <c r="W4" s="130">
        <f>IF(BASE!$B$34=1,SUM(W5:W8),"")</f>
      </c>
      <c r="X4" s="130">
        <f>IF(BASE!$B$35=1,SUM(X5:X8),"")</f>
      </c>
      <c r="Y4" s="127">
        <f>IFERROR(AVERAGE(V4:X4),"")</f>
      </c>
      <c r="Z4" s="130">
        <f>IF(BASE!$B$36=1,SUM(Z5:Z8),"")</f>
      </c>
      <c r="AA4" s="130">
        <f>IF(BASE!$B$37=1,SUM(AA5:AA8),"")</f>
      </c>
      <c r="AB4" s="130">
        <f>IF(BASE!$B$38=1,SUM(AB5:AB8),"")</f>
      </c>
      <c r="AC4" s="127">
        <f>IFERROR(AVERAGE(Z4:AB4),"")</f>
      </c>
    </row>
    <row r="5" outlineLevel="1">
      <c r="B5" s="84" t="s">
        <v>4</v>
      </c>
      <c r="C5" s="82"/>
      <c r="D5" s="126"/>
      <c r="E5" s="125"/>
      <c r="F5" s="125"/>
      <c r="G5" s="125"/>
      <c r="H5" s="125"/>
      <c r="I5" s="125"/>
      <c r="J5" s="125"/>
      <c r="K5" s="125"/>
      <c r="L5" s="125"/>
      <c r="M5" s="125"/>
      <c r="N5" s="125">
        <f>IF(BASE!$B$27=1,BASE!$I$27/1000,"")</f>
      </c>
      <c r="O5" s="125">
        <f>IF(BASE!$B$28=1,BASE!$I$28/1000,"")</f>
      </c>
      <c r="P5" s="125">
        <f>IF(BASE!$B$29=1,BASE!$I$29/1000,"")</f>
      </c>
      <c r="Q5" s="125">
        <f>IFERROR(AVERAGE(N5:P5),"")</f>
      </c>
      <c r="R5" s="125">
        <f>IF(BASE!$B$30=1,BASE!$I$30/1000,"")</f>
      </c>
      <c r="S5" s="125">
        <f>IF(BASE!$B$31=1,BASE!$I$31/1000,"")</f>
      </c>
      <c r="T5" s="125">
        <f>IF(BASE!$B$32=1,BASE!$I$32/1000,"")</f>
      </c>
      <c r="U5" s="125">
        <f>IFERROR(AVERAGE(R5:T5),"")</f>
      </c>
      <c r="V5" s="125">
        <f>IF(BASE!$B$33=1,BASE!$I$33/1000,"")</f>
      </c>
      <c r="W5" s="125">
        <f>IF(BASE!$B$34=1,BASE!$I$34/1000,"")</f>
      </c>
      <c r="X5" s="125">
        <f>IF(BASE!$B$35=1,BASE!$I$35/1000,"")</f>
      </c>
      <c r="Y5" s="125">
        <f>IFERROR(AVERAGE(V5:X5),"")</f>
      </c>
      <c r="Z5" s="125">
        <f>IF(BASE!$B$36=1,BASE!$I$36/1000,"")</f>
      </c>
      <c r="AA5" s="125">
        <f>IF(BASE!$B$37=1,BASE!$I$37/1000,"")</f>
      </c>
      <c r="AB5" s="125">
        <f>IF(BASE!$B$38=1,BASE!$I$38/1000,"")</f>
      </c>
      <c r="AC5" s="125">
        <f>IFERROR(AVERAGE(Z5:AB5),"")</f>
      </c>
    </row>
    <row r="6" outlineLevel="1">
      <c r="B6" s="84" t="s">
        <v>5</v>
      </c>
      <c r="C6" s="82"/>
      <c r="D6" s="129"/>
      <c r="E6" s="125"/>
      <c r="F6" s="125"/>
      <c r="G6" s="125"/>
      <c r="H6" s="125"/>
      <c r="I6" s="125"/>
      <c r="J6" s="125"/>
      <c r="K6" s="125"/>
      <c r="L6" s="125"/>
      <c r="M6" s="125"/>
      <c r="N6" s="125">
        <f>IF(BASE!$B$27=1,BASE!$J$27/1000,"")</f>
      </c>
      <c r="O6" s="125">
        <f>IF(BASE!$B$28=1,BASE!$J$28/1000,"")</f>
      </c>
      <c r="P6" s="125">
        <f>IF(BASE!$B$29=1,BASE!$J$29/1000,"")</f>
      </c>
      <c r="Q6" s="125">
        <f>IFERROR(AVERAGE(N6:P6),"")</f>
      </c>
      <c r="R6" s="125">
        <f>IF(BASE!$B$30=1,BASE!$J$30/1000,"")</f>
      </c>
      <c r="S6" s="125">
        <f>IF(BASE!$B$31=1,BASE!$J$31/1000,"")</f>
      </c>
      <c r="T6" s="125">
        <f>IF(BASE!$B$32=1,BASE!$J$32/1000,"")</f>
      </c>
      <c r="U6" s="125">
        <f>IFERROR(AVERAGE(R6:T6),"")</f>
      </c>
      <c r="V6" s="125">
        <f>IF(BASE!$B$33=1,BASE!$J$33/1000,"")</f>
      </c>
      <c r="W6" s="125">
        <f>IF(BASE!$B$34=1,BASE!$J$34/1000,"")</f>
      </c>
      <c r="X6" s="125">
        <f>IF(BASE!$B$35=1,BASE!$J$35/1000,"")</f>
      </c>
      <c r="Y6" s="125">
        <f>IFERROR(AVERAGE(V6:X6),"")</f>
      </c>
      <c r="Z6" s="125">
        <f>IF(BASE!$B$36=1,BASE!$J$36/1000,"")</f>
      </c>
      <c r="AA6" s="125">
        <f>IF(BASE!$B$37=1,BASE!$J$37/1000,"")</f>
      </c>
      <c r="AB6" s="125">
        <f>IF(BASE!$B$38=1,BASE!$J$38/1000,"")</f>
      </c>
      <c r="AC6" s="125">
        <f>IFERROR(AVERAGE(Z6:AB6),"")</f>
      </c>
    </row>
    <row r="7" outlineLevel="1">
      <c r="B7" s="84" t="s">
        <v>6</v>
      </c>
      <c r="C7" s="82"/>
      <c r="D7" s="126"/>
      <c r="E7" s="125"/>
      <c r="F7" s="125"/>
      <c r="G7" s="125"/>
      <c r="H7" s="125"/>
      <c r="I7" s="125"/>
      <c r="J7" s="125"/>
      <c r="K7" s="125"/>
      <c r="L7" s="125"/>
      <c r="M7" s="125"/>
      <c r="N7" s="125">
        <f>IF(BASE!$B$27=1,BASE!$K$27/1000,"")</f>
      </c>
      <c r="O7" s="125">
        <f>IF(BASE!$B$28=1,BASE!$K$28/1000,"")</f>
      </c>
      <c r="P7" s="125">
        <f>IF(BASE!$B$29=1,BASE!$K$29/1000,"")</f>
      </c>
      <c r="Q7" s="125">
        <f>IFERROR(AVERAGE(N7:P7),"")</f>
      </c>
      <c r="R7" s="125">
        <f>IF(BASE!$B$30=1,BASE!$K$30/1000,"")</f>
      </c>
      <c r="S7" s="125">
        <f>IF(BASE!$B$31=1,BASE!$K$31/1000,"")</f>
      </c>
      <c r="T7" s="125">
        <f>IF(BASE!$B$32=1,BASE!$K$32/1000,"")</f>
      </c>
      <c r="U7" s="125">
        <f>IFERROR(AVERAGE(R7:T7),"")</f>
      </c>
      <c r="V7" s="125">
        <f>IF(BASE!$B$33=1,BASE!$K$33/1000,"")</f>
      </c>
      <c r="W7" s="125">
        <f>IF(BASE!$B$34=1,BASE!$K$34/1000,"")</f>
      </c>
      <c r="X7" s="125">
        <f>IF(BASE!$B$35=1,BASE!$K$35/1000,"")</f>
      </c>
      <c r="Y7" s="125">
        <f>IFERROR(AVERAGE(V7:X7),"")</f>
      </c>
      <c r="Z7" s="125">
        <f>IF(BASE!$B$36=1,BASE!$K$36/1000,"")</f>
      </c>
      <c r="AA7" s="125">
        <f>IF(BASE!$B$37=1,BASE!$K$37/1000,"")</f>
      </c>
      <c r="AB7" s="125">
        <f>IF(BASE!$B$38=1,BASE!$K$38/1000,"")</f>
      </c>
      <c r="AC7" s="125">
        <f>IFERROR(AVERAGE(Z7:AB7),"")</f>
      </c>
    </row>
    <row r="8" outlineLevel="1">
      <c r="B8" s="84" t="s">
        <v>22</v>
      </c>
      <c r="C8" s="82"/>
      <c r="D8" s="126"/>
      <c r="E8" s="125"/>
      <c r="F8" s="125"/>
      <c r="G8" s="125"/>
      <c r="H8" s="125"/>
      <c r="I8" s="125"/>
      <c r="J8" s="125"/>
      <c r="K8" s="125"/>
      <c r="L8" s="125"/>
      <c r="M8" s="125"/>
      <c r="N8" s="125">
        <f>IF(BASE!$B$27=1,BASE!$L$27/1000,"")</f>
      </c>
      <c r="O8" s="125">
        <f>IF(BASE!$B$28=1,BASE!$L$28/1000,"")</f>
      </c>
      <c r="P8" s="125">
        <f>IF(BASE!$B$29=1,BASE!$L$29/1000,"")</f>
      </c>
      <c r="Q8" s="125">
        <f>IFERROR(AVERAGE(N8:P8),"")</f>
      </c>
      <c r="R8" s="125">
        <f>IF(BASE!$B$30=1,BASE!$L$30/1000,"")</f>
      </c>
      <c r="S8" s="125">
        <f>IF(BASE!$B$31=1,BASE!$L$31/1000,"")</f>
      </c>
      <c r="T8" s="125">
        <f>IF(BASE!$B$32=1,BASE!$L$32/1000,"")</f>
      </c>
      <c r="U8" s="125">
        <f>IFERROR(AVERAGE(R8:T8),"")</f>
      </c>
      <c r="V8" s="125">
        <f>IF(BASE!$B$33=1,BASE!$L$33/1000,"")</f>
      </c>
      <c r="W8" s="125">
        <f>IF(BASE!$B$34=1,BASE!$L$34/1000,"")</f>
      </c>
      <c r="X8" s="125">
        <f>IF(BASE!$B$35=1,BASE!$L$35/1000,"")</f>
      </c>
      <c r="Y8" s="125">
        <f>IFERROR(AVERAGE(V8:X8),"")</f>
      </c>
      <c r="Z8" s="125">
        <f>IF(BASE!$B$36=1,BASE!$L$36/1000,"")</f>
      </c>
      <c r="AA8" s="125">
        <f>IF(BASE!$B$37=1,BASE!$L$37/1000,"")</f>
      </c>
      <c r="AB8" s="125">
        <f>IF(BASE!$B$38=1,BASE!$L$38/1000,"")</f>
      </c>
      <c r="AC8" s="125">
        <f>IFERROR(AVERAGE(Z8:AB8),"")</f>
      </c>
    </row>
    <row r="9">
      <c r="B9" s="89" t="s">
        <v>3</v>
      </c>
      <c r="C9" s="87">
        <f>SUM(C10:C16)</f>
      </c>
      <c r="D9" s="128">
        <f>SUM(D10:D16)</f>
      </c>
      <c r="E9" s="127"/>
      <c r="F9" s="127"/>
      <c r="G9" s="127"/>
      <c r="H9" s="127"/>
      <c r="I9" s="127"/>
      <c r="J9" s="127"/>
      <c r="K9" s="127"/>
      <c r="L9" s="127"/>
      <c r="M9" s="127"/>
      <c r="N9" s="127">
        <f>IF(BASE!$B$27=1,SUM(N10:N16),"")</f>
      </c>
      <c r="O9" s="127">
        <f>IF(BASE!$B$28=1,SUM(O10:O16),"")</f>
      </c>
      <c r="P9" s="127">
        <f>IF(BASE!$B$29=1,SUM(P10:P16),"")</f>
      </c>
      <c r="Q9" s="125">
        <f>IFERROR(AVERAGE(N9:P9),"")</f>
      </c>
      <c r="R9" s="127">
        <f>IF(BASE!$B$30=1,SUM(R10:R16),"")</f>
      </c>
      <c r="S9" s="127">
        <f>IF(BASE!$B$31=1,SUM(S10:S16),"")</f>
      </c>
      <c r="T9" s="127">
        <f>IF(BASE!$B$32=1,SUM(T10:T16),"")</f>
      </c>
      <c r="U9" s="125">
        <f>IFERROR(AVERAGE(R9:T9),"")</f>
      </c>
      <c r="V9" s="127">
        <f>IF(BASE!$B$33=1,SUM(V10:V16),"")</f>
      </c>
      <c r="W9" s="127">
        <f>IF(BASE!$B$34=1,SUM(W10:W16),"")</f>
      </c>
      <c r="X9" s="127">
        <f>IF(BASE!$B$35=1,SUM(X10:X16),"")</f>
      </c>
      <c r="Y9" s="125">
        <f>IFERROR(AVERAGE(V9:X9),"")</f>
      </c>
      <c r="Z9" s="127">
        <f>IF(BASE!$B$36=1,SUM(Z10:Z16),"")</f>
      </c>
      <c r="AA9" s="127">
        <f>IF(BASE!$B$37=1,SUM(AA10:AA16),"")</f>
      </c>
      <c r="AB9" s="127">
        <f>IF(BASE!$B$38=1,SUM(AB10:AB16),"")</f>
      </c>
      <c r="AC9" s="125">
        <f>IFERROR(AVERAGE(Z9:AB9),"")</f>
      </c>
    </row>
    <row r="10">
      <c r="B10" s="84" t="s">
        <v>4</v>
      </c>
      <c r="C10" s="82"/>
      <c r="D10" s="126"/>
      <c r="E10" s="125"/>
      <c r="F10" s="125"/>
      <c r="G10" s="125"/>
      <c r="H10" s="125"/>
      <c r="I10" s="125"/>
      <c r="J10" s="125"/>
      <c r="K10" s="125"/>
      <c r="L10" s="125"/>
      <c r="M10" s="125"/>
      <c r="N10" s="125">
        <f>IF(BASE!$B$27=1,BASE!$M$27/1000,"")</f>
      </c>
      <c r="O10" s="125">
        <f>IF(BASE!$B$28=1,BASE!$M$28/1000,"")</f>
      </c>
      <c r="P10" s="125">
        <f>IF(BASE!$B$29=1,BASE!$M$29/1000,"")</f>
      </c>
      <c r="Q10" s="125">
        <f>IFERROR(AVERAGE(N10:P10),"")</f>
      </c>
      <c r="R10" s="125">
        <f>IF(BASE!$B$30=1,BASE!$M$30/1000,"")</f>
      </c>
      <c r="S10" s="125">
        <f>IF(BASE!$B$31=1,BASE!$M$31/1000,"")</f>
      </c>
      <c r="T10" s="125">
        <f>IF(BASE!$B$32=1,BASE!$M$32/1000,"")</f>
      </c>
      <c r="U10" s="125">
        <f>IFERROR(AVERAGE(R10:T10),"")</f>
      </c>
      <c r="V10" s="125">
        <f>IF(BASE!$B$33=1,BASE!$M$33/1000,"")</f>
      </c>
      <c r="W10" s="125">
        <f>IF(BASE!$B$34=1,BASE!$M$34/1000,"")</f>
      </c>
      <c r="X10" s="125">
        <f>IF(BASE!$B$35=1,BASE!$M$35/1000,"")</f>
      </c>
      <c r="Y10" s="125">
        <f>IFERROR(AVERAGE(V10:X10),"")</f>
      </c>
      <c r="Z10" s="125">
        <f>IF(BASE!$B$36=1,BASE!$M$36/1000,"")</f>
      </c>
      <c r="AA10" s="125">
        <f>IF(BASE!$B$37=1,BASE!$M$37/1000,"")</f>
      </c>
      <c r="AB10" s="125">
        <f>IF(BASE!$B$38=1,BASE!$M$38/1000,"")</f>
      </c>
      <c r="AC10" s="125">
        <f>IFERROR(AVERAGE(Z10:AB10),"")</f>
      </c>
    </row>
    <row r="11">
      <c r="B11" s="84" t="s">
        <v>5</v>
      </c>
      <c r="C11" s="82"/>
      <c r="D11" s="126"/>
      <c r="E11" s="125"/>
      <c r="F11" s="125"/>
      <c r="G11" s="125"/>
      <c r="H11" s="125"/>
      <c r="I11" s="125"/>
      <c r="J11" s="125"/>
      <c r="K11" s="125"/>
      <c r="L11" s="125"/>
      <c r="M11" s="125"/>
      <c r="N11" s="125">
        <f>IF(BASE!$B$27=1,BASE!$N$27/1000,"")</f>
      </c>
      <c r="O11" s="125">
        <f>IF(BASE!$B$28=1,BASE!$N$28/1000,"")</f>
      </c>
      <c r="P11" s="125">
        <f>IF(BASE!$B$29=1,BASE!$N$29/1000,"")</f>
      </c>
      <c r="Q11" s="125">
        <f>IFERROR(AVERAGE(N11:P11),"")</f>
      </c>
      <c r="R11" s="125">
        <f>IF(BASE!$B$30=1,BASE!$N$30/1000,"")</f>
      </c>
      <c r="S11" s="125">
        <f>IF(BASE!$B$31=1,BASE!$N$31/1000,"")</f>
      </c>
      <c r="T11" s="125">
        <f>IF(BASE!$B$32=1,BASE!$N$32/1000,"")</f>
      </c>
      <c r="U11" s="125">
        <f>IFERROR(AVERAGE(R11:T11),"")</f>
      </c>
      <c r="V11" s="125">
        <f>IF(BASE!$B$33=1,BASE!$N$33/1000,"")</f>
      </c>
      <c r="W11" s="125">
        <f>IF(BASE!$B$34=1,BASE!$N$34/1000,"")</f>
      </c>
      <c r="X11" s="125">
        <f>IF(BASE!$B$35=1,BASE!$N$35/1000,"")</f>
      </c>
      <c r="Y11" s="125">
        <f>IFERROR(AVERAGE(V11:X11),"")</f>
      </c>
      <c r="Z11" s="125">
        <f>IF(BASE!$B$36=1,BASE!$N$36/1000,"")</f>
      </c>
      <c r="AA11" s="125">
        <f>IF(BASE!$B$37=1,BASE!$N$37/1000,"")</f>
      </c>
      <c r="AB11" s="125">
        <f>IF(BASE!$B$38=1,BASE!$N$38/1000,"")</f>
      </c>
      <c r="AC11" s="125">
        <f>IFERROR(AVERAGE(Z11:AB11),"")</f>
      </c>
    </row>
    <row r="12">
      <c r="B12" s="84" t="s">
        <v>6</v>
      </c>
      <c r="C12" s="82"/>
      <c r="D12" s="126"/>
      <c r="E12" s="125"/>
      <c r="F12" s="125"/>
      <c r="G12" s="125"/>
      <c r="H12" s="125"/>
      <c r="I12" s="125"/>
      <c r="J12" s="125"/>
      <c r="K12" s="125"/>
      <c r="L12" s="125"/>
      <c r="M12" s="125"/>
      <c r="N12" s="125">
        <f>IF(BASE!$B$27=1,BASE!$O$27/1000,"")</f>
      </c>
      <c r="O12" s="125">
        <f>IF(BASE!$B$28=1,BASE!$O$28/1000,"")</f>
      </c>
      <c r="P12" s="125">
        <f>IF(BASE!$B$29=1,BASE!$O$29/1000,"")</f>
      </c>
      <c r="Q12" s="125">
        <f>IFERROR(AVERAGE(N12:P12),"")</f>
      </c>
      <c r="R12" s="125">
        <f>IF(BASE!$B$30=1,BASE!$O$30/1000,"")</f>
      </c>
      <c r="S12" s="125">
        <f>IF(BASE!$B$31=1,BASE!$O$31/1000,"")</f>
      </c>
      <c r="T12" s="125">
        <f>IF(BASE!$B$32=1,BASE!$O$32/1000,"")</f>
      </c>
      <c r="U12" s="125">
        <f>IFERROR(AVERAGE(R12:T12),"")</f>
      </c>
      <c r="V12" s="125">
        <f>IF(BASE!$B$33=1,BASE!$O$33/1000,"")</f>
      </c>
      <c r="W12" s="125">
        <f>IF(BASE!$B$34=1,BASE!$O$34/1000,"")</f>
      </c>
      <c r="X12" s="125">
        <f>IF(BASE!$B$35=1,BASE!$O$35/1000,"")</f>
      </c>
      <c r="Y12" s="125">
        <f>IFERROR(AVERAGE(V12:X12),"")</f>
      </c>
      <c r="Z12" s="125">
        <f>IF(BASE!$B$36=1,BASE!$O$36/1000,"")</f>
      </c>
      <c r="AA12" s="125">
        <f>IF(BASE!$B$37=1,BASE!$O$37/1000,"")</f>
      </c>
      <c r="AB12" s="125">
        <f>IF(BASE!$B$38=1,BASE!$O$38/1000,"")</f>
      </c>
      <c r="AC12" s="125">
        <f>IFERROR(AVERAGE(Z12:AB12),"")</f>
      </c>
    </row>
    <row r="13">
      <c r="B13" s="84" t="s">
        <v>7</v>
      </c>
      <c r="C13" s="82"/>
      <c r="D13" s="126"/>
      <c r="E13" s="125"/>
      <c r="F13" s="125"/>
      <c r="G13" s="125"/>
      <c r="H13" s="125"/>
      <c r="I13" s="125"/>
      <c r="J13" s="125"/>
      <c r="K13" s="125"/>
      <c r="L13" s="125"/>
      <c r="M13" s="125"/>
      <c r="N13" s="125">
        <f>IF(BASE!$B$27=1,BASE!$P$27/1000,"")</f>
      </c>
      <c r="O13" s="125">
        <f>IF(BASE!$B$28=1,BASE!$P$28/1000,"")</f>
      </c>
      <c r="P13" s="125">
        <f>IF(BASE!$B$29=1,BASE!$P$29/1000,"")</f>
      </c>
      <c r="Q13" s="125">
        <f>IFERROR(AVERAGE(N13:P13),"")</f>
      </c>
      <c r="R13" s="125">
        <f>IF(BASE!$B$30=1,BASE!$P$30/1000,"")</f>
      </c>
      <c r="S13" s="125">
        <f>IF(BASE!$B$31=1,BASE!$P$31/1000,"")</f>
      </c>
      <c r="T13" s="125">
        <f>IF(BASE!$B$32=1,BASE!$P$32/1000,"")</f>
      </c>
      <c r="U13" s="125">
        <f>IFERROR(AVERAGE(R13:T13),"")</f>
      </c>
      <c r="V13" s="125">
        <f>IF(BASE!$B$33=1,BASE!$P$33/1000,"")</f>
      </c>
      <c r="W13" s="125">
        <f>IF(BASE!$B$34=1,BASE!$P$34/1000,"")</f>
      </c>
      <c r="X13" s="125">
        <f>IF(BASE!$B$35=1,BASE!$P$35/1000,"")</f>
      </c>
      <c r="Y13" s="125">
        <f>IFERROR(AVERAGE(V13:X13),"")</f>
      </c>
      <c r="Z13" s="125">
        <f>IF(BASE!$B$36=1,BASE!$P$36/1000,"")</f>
      </c>
      <c r="AA13" s="125">
        <f>IF(BASE!$B$37=1,BASE!$P$37/1000,"")</f>
      </c>
      <c r="AB13" s="125">
        <f>IF(BASE!$B$38=1,BASE!$P$38/1000,"")</f>
      </c>
      <c r="AC13" s="125">
        <f>IFERROR(AVERAGE(Z13:AB13),"")</f>
      </c>
    </row>
    <row r="14">
      <c r="B14" s="84" t="s">
        <v>8</v>
      </c>
      <c r="C14" s="82"/>
      <c r="D14" s="126"/>
      <c r="E14" s="125"/>
      <c r="F14" s="125"/>
      <c r="G14" s="125"/>
      <c r="H14" s="125"/>
      <c r="I14" s="125"/>
      <c r="J14" s="125"/>
      <c r="K14" s="125"/>
      <c r="L14" s="125"/>
      <c r="M14" s="125"/>
      <c r="N14" s="125">
        <f>IF(BASE!$B$27=1,BASE!$Q$27/1000,"")</f>
      </c>
      <c r="O14" s="125">
        <f>IF(BASE!$B$28=1,BASE!$Q$28/1000,"")</f>
      </c>
      <c r="P14" s="125">
        <f>IF(BASE!$B$29=1,BASE!$Q$29/1000,"")</f>
      </c>
      <c r="Q14" s="125">
        <f>IFERROR(AVERAGE(N14:P14),"")</f>
      </c>
      <c r="R14" s="125">
        <f>IF(BASE!$B$30=1,BASE!$Q$30/1000,"")</f>
      </c>
      <c r="S14" s="125">
        <f>IF(BASE!$B$31=1,BASE!$Q$31/1000,"")</f>
      </c>
      <c r="T14" s="125">
        <f>IF(BASE!$B$32=1,BASE!$Q$32/1000,"")</f>
      </c>
      <c r="U14" s="125">
        <f>IFERROR(AVERAGE(R14:T14),"")</f>
      </c>
      <c r="V14" s="125">
        <f>IF(BASE!$B$33=1,BASE!$Q$33/1000,"")</f>
      </c>
      <c r="W14" s="125">
        <f>IF(BASE!$B$34=1,BASE!$Q$34/1000,"")</f>
      </c>
      <c r="X14" s="125">
        <f>IF(BASE!$B$35=1,BASE!$Q$35/1000,"")</f>
      </c>
      <c r="Y14" s="125">
        <f>IFERROR(AVERAGE(V14:X14),"")</f>
      </c>
      <c r="Z14" s="125">
        <f>IF(BASE!$B$36=1,BASE!$Q$36/1000,"")</f>
      </c>
      <c r="AA14" s="125">
        <f>IF(BASE!$B$37=1,BASE!$Q$37/1000,"")</f>
      </c>
      <c r="AB14" s="125">
        <f>IF(BASE!$B$38=1,BASE!$Q$38/1000,"")</f>
      </c>
      <c r="AC14" s="125">
        <f>IFERROR(AVERAGE(Z14:AB14),"")</f>
      </c>
    </row>
    <row r="15">
      <c r="B15" s="84" t="s">
        <v>9</v>
      </c>
      <c r="C15" s="82"/>
      <c r="D15" s="126"/>
      <c r="E15" s="125"/>
      <c r="F15" s="125"/>
      <c r="G15" s="125"/>
      <c r="H15" s="125"/>
      <c r="I15" s="125"/>
      <c r="J15" s="125"/>
      <c r="K15" s="125"/>
      <c r="L15" s="125"/>
      <c r="M15" s="125"/>
      <c r="N15" s="125">
        <f>IF(BASE!$B$27=1,BASE!$R$27/1000,"")</f>
      </c>
      <c r="O15" s="125">
        <f>IF(BASE!$B$28=1,BASE!$R$28/1000,"")</f>
      </c>
      <c r="P15" s="125">
        <f>IF(BASE!$B$29=1,BASE!$R$29/1000,"")</f>
      </c>
      <c r="Q15" s="125">
        <f>IFERROR(AVERAGE(N15:P15),"")</f>
      </c>
      <c r="R15" s="125">
        <f>IF(BASE!$B$30=1,BASE!$R$30/1000,"")</f>
      </c>
      <c r="S15" s="125">
        <f>IF(BASE!$B$31=1,BASE!$R$31/1000,"")</f>
      </c>
      <c r="T15" s="125">
        <f>IF(BASE!$B$32=1,BASE!$R$32/1000,"")</f>
      </c>
      <c r="U15" s="125">
        <f>IFERROR(AVERAGE(R15:T15),"")</f>
      </c>
      <c r="V15" s="125">
        <f>IF(BASE!$B$33=1,BASE!$R$33/1000,"")</f>
      </c>
      <c r="W15" s="125">
        <f>IF(BASE!$B$34=1,BASE!$R$34/1000,"")</f>
      </c>
      <c r="X15" s="125">
        <f>IF(BASE!$B$35=1,BASE!$R$35/1000,"")</f>
      </c>
      <c r="Y15" s="125">
        <f>IFERROR(AVERAGE(V15:X15),"")</f>
      </c>
      <c r="Z15" s="125">
        <f>IF(BASE!$B$36=1,BASE!$R$36/1000,"")</f>
      </c>
      <c r="AA15" s="125">
        <f>IF(BASE!$B$37=1,BASE!$R$37/1000,"")</f>
      </c>
      <c r="AB15" s="125">
        <f>IF(BASE!$B$38=1,BASE!$R$38/1000,"")</f>
      </c>
      <c r="AC15" s="125">
        <f>IFERROR(AVERAGE(Z15:AB15),"")</f>
      </c>
    </row>
    <row r="16">
      <c r="B16" s="84" t="s">
        <v>10</v>
      </c>
      <c r="C16" s="82"/>
      <c r="D16" s="126"/>
      <c r="E16" s="125"/>
      <c r="F16" s="125"/>
      <c r="G16" s="125"/>
      <c r="H16" s="125"/>
      <c r="I16" s="125"/>
      <c r="J16" s="125"/>
      <c r="K16" s="125"/>
      <c r="L16" s="125"/>
      <c r="M16" s="125"/>
      <c r="N16" s="125">
        <f>IF(BASE!$B$27=1,BASE!$S$27/1000,"")</f>
      </c>
      <c r="O16" s="125">
        <f>IF(BASE!$B$28=1,BASE!$S$28/1000,"")</f>
      </c>
      <c r="P16" s="125">
        <f>IF(BASE!$B$29=1,BASE!$S$29/1000,"")</f>
      </c>
      <c r="Q16" s="125">
        <f>IFERROR(AVERAGE(N16:P16),"")</f>
      </c>
      <c r="R16" s="125">
        <f>IF(BASE!$B$30=1,BASE!$S$30/1000,"")</f>
      </c>
      <c r="S16" s="125">
        <f>IF(BASE!$B$31=1,BASE!$S$31/1000,"")</f>
      </c>
      <c r="T16" s="125">
        <f>IF(BASE!$B$32=1,BASE!$S$32/1000,"")</f>
      </c>
      <c r="U16" s="125">
        <f>IFERROR(AVERAGE(R16:T16),"")</f>
      </c>
      <c r="V16" s="125">
        <f>IF(BASE!$B$33=1,BASE!$S$33/1000,"")</f>
      </c>
      <c r="W16" s="125">
        <f>IF(BASE!$B$34=1,BASE!$S$34/1000,"")</f>
      </c>
      <c r="X16" s="125">
        <f>IF(BASE!$B$35=1,BASE!$S$35/1000,"")</f>
      </c>
      <c r="Y16" s="125">
        <f>IFERROR(AVERAGE(V16:X16),"")</f>
      </c>
      <c r="Z16" s="125">
        <f>IF(BASE!$B$36=1,BASE!$S$36/1000,"")</f>
      </c>
      <c r="AA16" s="125">
        <f>IF(BASE!$B$37=1,BASE!$S$37/1000,"")</f>
      </c>
      <c r="AB16" s="125">
        <f>IF(BASE!$B$38=1,BASE!$S$38/1000,"")</f>
      </c>
      <c r="AC16" s="125">
        <f>IFERROR(AVERAGE(Z16:AB16),"")</f>
      </c>
    </row>
    <row r="17" ht="18" thickBot="1">
      <c r="B17" s="79" t="s">
        <v>15</v>
      </c>
      <c r="C17" s="77">
        <f>SUM(C4,C9)</f>
      </c>
      <c r="D17" s="124"/>
      <c r="E17" s="123"/>
      <c r="F17" s="123"/>
      <c r="G17" s="123"/>
      <c r="H17" s="123"/>
      <c r="I17" s="123"/>
      <c r="J17" s="123"/>
      <c r="K17" s="123"/>
      <c r="L17" s="123"/>
      <c r="M17" s="123"/>
      <c r="N17" s="123">
        <f>IF(BASE!$B$27=1,SUM(N4,N9),"")</f>
      </c>
      <c r="O17" s="123">
        <f>IF(BASE!$B$28=1,SUM(O4,O9),"")</f>
      </c>
      <c r="P17" s="123">
        <f>IF(BASE!$B$29=1,SUM(P4,P9),"")</f>
      </c>
      <c r="Q17" s="123">
        <f>IFERROR(AVERAGE(N17:P17),"")</f>
      </c>
      <c r="R17" s="123">
        <f>IF(BASE!$B$30=1,SUM(R4,R9),"")</f>
      </c>
      <c r="S17" s="123">
        <f>IF(BASE!$B$31=1,SUM(S4,S9),"")</f>
      </c>
      <c r="T17" s="123">
        <f>IF(BASE!$B$32=1,SUM(T4,T9),"")</f>
      </c>
      <c r="U17" s="123">
        <f>IFERROR(AVERAGE(R17:T17),"")</f>
      </c>
      <c r="V17" s="123">
        <f>IF(BASE!$B$33=1,SUM(V4,V9),"")</f>
      </c>
      <c r="W17" s="123">
        <f>IF(BASE!$B$34=1,SUM(W4,W9),"")</f>
      </c>
      <c r="X17" s="123">
        <f>IF(BASE!$B$35=1,SUM(X4,X9),"")</f>
      </c>
      <c r="Y17" s="123">
        <f>IFERROR(AVERAGE(V17:X17),"")</f>
      </c>
      <c r="Z17" s="123">
        <f>IF(BASE!$B$36=1,SUM(Z4,Z9),"")</f>
      </c>
      <c r="AA17" s="123">
        <f>IF(BASE!$B$37=1,SUM(AA4,AA9),"")</f>
      </c>
      <c r="AB17" s="123">
        <f>IF(BASE!$B$38=1,SUM(AB4,AB9),"")</f>
      </c>
      <c r="AC17" s="123">
        <f>IFERROR(AVERAGE(Z17:AB17),"")</f>
      </c>
    </row>
  </sheetData>
  <phoneticPr fontId="97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7530-0F76-4B39-88A1-35452A9577E3}">
  <dimension ref="B1:AC17"/>
  <sheetViews>
    <sheetView showGridLines="0" zoomScale="80" zoomScaleNormal="80" workbookViewId="0">
      <pane xSplit="4" ySplit="3" topLeftCell="N4" activePane="bottomRight" state="frozen"/>
    </sheetView>
  </sheetViews>
  <sheetFormatPr defaultColWidth="9.109375" defaultRowHeight="17.399999999999999" outlineLevelRow="1" outlineLevelCol="1"/>
  <cols>
    <col min="1" max="1" width="2.6640625" style="110" customWidth="1"/>
    <col min="2" max="2" width="21.44140625" style="110" customWidth="1"/>
    <col min="3" max="3" width="10.6640625" style="110" hidden="1" customWidth="1"/>
    <col min="4" max="4" width="10.6640625" style="111" hidden="1" customWidth="1"/>
    <col min="5" max="7" width="10.6640625" style="110" hidden="1" customWidth="1" outlineLevel="1" collapsed="1"/>
    <col min="8" max="8" width="10.6640625" style="110" hidden="1" customWidth="1" outlineLevel="1"/>
    <col min="9" max="11" width="10.6640625" style="110" hidden="1" customWidth="1" outlineLevel="1" collapsed="1"/>
    <col min="12" max="12" width="10.6640625" style="110" hidden="1" customWidth="1" outlineLevel="1"/>
    <col min="13" max="13" width="10.6640625" style="110" hidden="1" customWidth="1" outlineLevel="1" collapsed="1"/>
    <col min="14" max="15" width="10.6640625" style="110" customWidth="1" collapsed="1"/>
    <col min="16" max="17" width="10.6640625" style="110" customWidth="1"/>
    <col min="18" max="18" width="9.6640625" style="110" bestFit="1" customWidth="1"/>
    <col min="19" max="19" width="10" style="110" bestFit="1" customWidth="1"/>
    <col min="20" max="20" width="10.44140625" style="110" bestFit="1" customWidth="1"/>
    <col min="21" max="21" width="9.109375" style="110"/>
    <col min="22" max="22" width="9.6640625" style="110" bestFit="1" customWidth="1"/>
    <col min="23" max="23" width="10.33203125" style="110" bestFit="1" customWidth="1"/>
    <col min="24" max="24" width="9.44140625" style="110" bestFit="1" customWidth="1"/>
    <col min="25" max="26" width="9.109375" style="110"/>
    <col min="27" max="27" width="10.33203125" style="110" bestFit="1" customWidth="1"/>
    <col min="28" max="28" width="10" style="110" bestFit="1" customWidth="1"/>
    <col min="29" max="29" width="8.88671875" style="110" bestFit="1" customWidth="1"/>
    <col min="30" max="16384" width="9.109375" style="110"/>
  </cols>
  <sheetData>
    <row r="1" ht="18" thickBot="1"/>
    <row r="2" ht="18" thickBot="1">
      <c r="B2" s="133" t="s">
        <v>25</v>
      </c>
      <c r="C2" s="120"/>
      <c r="D2" s="121"/>
      <c r="E2" s="117"/>
      <c r="F2" s="117"/>
      <c r="G2" s="117"/>
      <c r="H2" s="118"/>
      <c r="I2" s="117"/>
      <c r="J2" s="117"/>
      <c r="K2" s="117"/>
      <c r="L2" s="118"/>
      <c r="M2" s="117"/>
      <c r="N2" s="1057">
        <f>BASE!$A$27</f>
      </c>
      <c r="O2" s="1057">
        <f>BASE!$A$28</f>
      </c>
      <c r="P2" s="1057">
        <f>BASE!$A$29</f>
      </c>
      <c r="Q2" s="118" t="s">
        <v>93</v>
      </c>
      <c r="R2" s="1057">
        <f>BASE!$A$30</f>
      </c>
      <c r="S2" s="1057">
        <f>BASE!$A$31</f>
      </c>
      <c r="T2" s="1057">
        <f>BASE!$A$32</f>
      </c>
      <c r="U2" s="118" t="s">
        <v>94</v>
      </c>
      <c r="V2" s="1057">
        <f>BASE!$A$33</f>
      </c>
      <c r="W2" s="1057">
        <f>BASE!$A$34</f>
      </c>
      <c r="X2" s="1057">
        <f>BASE!$A$35</f>
      </c>
      <c r="Y2" s="118" t="s">
        <v>95</v>
      </c>
      <c r="Z2" s="1057">
        <f>BASE!$A$36</f>
      </c>
      <c r="AA2" s="1057">
        <f>BASE!$A$37</f>
      </c>
      <c r="AB2" s="1057">
        <f>BASE!$A$38</f>
      </c>
      <c r="AC2" s="118" t="s">
        <v>96</v>
      </c>
    </row>
    <row r="3" ht="18" thickBot="1">
      <c r="B3" s="104" t="s">
        <v>55</v>
      </c>
      <c r="C3" s="106"/>
      <c r="D3" s="105"/>
      <c r="E3" s="132"/>
      <c r="F3" s="132"/>
      <c r="G3" s="132"/>
      <c r="H3" s="132"/>
      <c r="I3" s="132"/>
      <c r="J3" s="132"/>
      <c r="K3" s="132"/>
      <c r="L3" s="132"/>
      <c r="M3" s="132"/>
      <c r="N3" s="132" t="s">
        <v>12</v>
      </c>
      <c r="O3" s="132" t="s">
        <v>12</v>
      </c>
      <c r="P3" s="132" t="s">
        <v>12</v>
      </c>
      <c r="Q3" s="132" t="s">
        <v>12</v>
      </c>
      <c r="R3" s="132" t="s">
        <v>12</v>
      </c>
      <c r="S3" s="132" t="s">
        <v>12</v>
      </c>
      <c r="T3" s="132" t="s">
        <v>12</v>
      </c>
      <c r="U3" s="132" t="s">
        <v>12</v>
      </c>
      <c r="V3" s="132" t="s">
        <v>12</v>
      </c>
      <c r="W3" s="132" t="s">
        <v>12</v>
      </c>
      <c r="X3" s="132" t="s">
        <v>12</v>
      </c>
      <c r="Y3" s="132" t="s">
        <v>12</v>
      </c>
      <c r="Z3" s="132" t="s">
        <v>12</v>
      </c>
      <c r="AA3" s="132" t="s">
        <v>12</v>
      </c>
      <c r="AB3" s="132" t="s">
        <v>12</v>
      </c>
      <c r="AC3" s="132" t="s">
        <v>12</v>
      </c>
    </row>
    <row r="4">
      <c r="B4" s="97" t="s">
        <v>23</v>
      </c>
      <c r="C4" s="94">
        <f>SUM(C5:C8)</f>
      </c>
      <c r="D4" s="131">
        <f>SUM(D5:D8)</f>
      </c>
      <c r="E4" s="130"/>
      <c r="F4" s="130"/>
      <c r="G4" s="130"/>
      <c r="H4" s="130"/>
      <c r="I4" s="130"/>
      <c r="J4" s="130"/>
      <c r="K4" s="130"/>
      <c r="L4" s="130"/>
      <c r="M4" s="130"/>
      <c r="N4" s="130">
        <f>IF(BASE!$B$27=1,SUM(N5:N8),"")</f>
      </c>
      <c r="O4" s="130">
        <f>IF(BASE!$B$28=1,SUM(O5:O8),"")</f>
      </c>
      <c r="P4" s="130">
        <f>IF(BASE!$B$29=1,SUM(P5:P8),"")</f>
      </c>
      <c r="Q4" s="130">
        <f>IFERROR(AVERAGE(N4:P4),"")</f>
      </c>
      <c r="R4" s="130">
        <f>IF(BASE!$B$30=1,SUM(R5:R8),"")</f>
      </c>
      <c r="S4" s="130">
        <f>IF(BASE!$B$31=1,SUM(S5:S8),"")</f>
      </c>
      <c r="T4" s="130">
        <f>IF(BASE!$B$32=1,SUM(T5:T8),"")</f>
      </c>
      <c r="U4" s="130">
        <f>IFERROR(AVERAGE(R4:T4),"")</f>
      </c>
      <c r="V4" s="130">
        <f>IF(BASE!$B$33=1,SUM(V5:V8),"")</f>
      </c>
      <c r="W4" s="130">
        <f>IF(BASE!$B$34=1,SUM(W5:W8),"")</f>
      </c>
      <c r="X4" s="130">
        <f>IF(BASE!$B$35=1,SUM(X5:X8),"")</f>
      </c>
      <c r="Y4" s="130">
        <f>IFERROR(AVERAGE(V4:X4),"")</f>
      </c>
      <c r="Z4" s="130">
        <f>IF(BASE!$B$36=1,SUM(Z5:Z8),"")</f>
      </c>
      <c r="AA4" s="130">
        <f>IF(BASE!$B$37=1,SUM(AA5:AA8),"")</f>
      </c>
      <c r="AB4" s="130">
        <f>IF(BASE!$B$38=1,SUM(AB5:AB8),"")</f>
      </c>
      <c r="AC4" s="130">
        <f>IFERROR(AVERAGE(Z4:AB4),"")</f>
      </c>
    </row>
    <row r="5" outlineLevel="1">
      <c r="B5" s="84" t="s">
        <v>4</v>
      </c>
      <c r="C5" s="82"/>
      <c r="D5" s="126"/>
      <c r="E5" s="125"/>
      <c r="F5" s="125"/>
      <c r="G5" s="125"/>
      <c r="H5" s="125"/>
      <c r="I5" s="125"/>
      <c r="J5" s="125"/>
      <c r="K5" s="125"/>
      <c r="L5" s="125"/>
      <c r="M5" s="125"/>
      <c r="N5" s="125">
        <f>IF(BASE!$B$27=1,BASE!$T$27/1000,"")</f>
      </c>
      <c r="O5" s="125">
        <f>IF(BASE!$B$28=1,BASE!$T$28/1000,"")</f>
      </c>
      <c r="P5" s="125">
        <f>IF(BASE!$B$29=1,BASE!$T$29/1000,"")</f>
      </c>
      <c r="Q5" s="125">
        <f>IFERROR(AVERAGE(N5:P5),"")</f>
      </c>
      <c r="R5" s="125">
        <f>IF(BASE!$B$30=1,BASE!$T$30/1000,"")</f>
      </c>
      <c r="S5" s="125">
        <f>IF(BASE!$B$31=1,BASE!$T$31/1000,"")</f>
      </c>
      <c r="T5" s="125">
        <f>IF(BASE!$B$32=1,BASE!$T$32/1000,"")</f>
      </c>
      <c r="U5" s="125">
        <f>IFERROR(AVERAGE(R5:T5),"")</f>
      </c>
      <c r="V5" s="125">
        <f>IF(BASE!$B$33=1,BASE!$T$33/1000,"")</f>
      </c>
      <c r="W5" s="125">
        <f>IF(BASE!$B$34=1,BASE!$T$34/1000,"")</f>
      </c>
      <c r="X5" s="125">
        <f>IF(BASE!$B$35=1,BASE!$T$35/1000,"")</f>
      </c>
      <c r="Y5" s="125">
        <f>IFERROR(AVERAGE(V5:X5),"")</f>
      </c>
      <c r="Z5" s="125">
        <f>IF(BASE!$B$36=1,BASE!$T$36/1000,"")</f>
      </c>
      <c r="AA5" s="125">
        <f>IF(BASE!$B$37=1,BASE!$T$37/1000,"")</f>
      </c>
      <c r="AB5" s="125">
        <f>IF(BASE!$B$38=1,BASE!$T$38/1000,"")</f>
      </c>
      <c r="AC5" s="125">
        <f>IFERROR(AVERAGE(Z5:AB5),"")</f>
      </c>
    </row>
    <row r="6" outlineLevel="1">
      <c r="B6" s="84" t="s">
        <v>5</v>
      </c>
      <c r="C6" s="82"/>
      <c r="D6" s="129"/>
      <c r="E6" s="125"/>
      <c r="F6" s="125"/>
      <c r="G6" s="125"/>
      <c r="H6" s="125"/>
      <c r="I6" s="125"/>
      <c r="J6" s="125"/>
      <c r="K6" s="125"/>
      <c r="L6" s="125"/>
      <c r="M6" s="125"/>
      <c r="N6" s="125">
        <f>IF(BASE!$B$27=1,BASE!$U$27/1000,"")</f>
      </c>
      <c r="O6" s="125">
        <f>IF(BASE!$B$28=1,BASE!$U$28/1000,"")</f>
      </c>
      <c r="P6" s="125">
        <f>IF(BASE!$B$29=1,BASE!$U$29/1000,"")</f>
      </c>
      <c r="Q6" s="125">
        <f>IFERROR(AVERAGE(N6:P6),"")</f>
      </c>
      <c r="R6" s="125">
        <f>IF(BASE!$B$30=1,BASE!$U$30/1000,"")</f>
      </c>
      <c r="S6" s="125">
        <f>IF(BASE!$B$31=1,BASE!$U$31/1000,"")</f>
      </c>
      <c r="T6" s="125">
        <f>IF(BASE!$B$32=1,BASE!$U$32/1000,"")</f>
      </c>
      <c r="U6" s="125">
        <f>IFERROR(AVERAGE(R6:T6),"")</f>
      </c>
      <c r="V6" s="125">
        <f>IF(BASE!$B$33=1,BASE!$U$33/1000,"")</f>
      </c>
      <c r="W6" s="125">
        <f>IF(BASE!$B$34=1,BASE!$U$34/1000,"")</f>
      </c>
      <c r="X6" s="125">
        <f>IF(BASE!$B$35=1,BASE!$U$35/1000,"")</f>
      </c>
      <c r="Y6" s="125">
        <f>IFERROR(AVERAGE(V6:X6),"")</f>
      </c>
      <c r="Z6" s="125">
        <f>IF(BASE!$B$36=1,BASE!$U$36/1000,"")</f>
      </c>
      <c r="AA6" s="125">
        <f>IF(BASE!$B$37=1,BASE!$U$37/1000,"")</f>
      </c>
      <c r="AB6" s="125">
        <f>IF(BASE!$B$38=1,BASE!$U$38/1000,"")</f>
      </c>
      <c r="AC6" s="125">
        <f>IFERROR(AVERAGE(Z6:AB6),"")</f>
      </c>
    </row>
    <row r="7" outlineLevel="1">
      <c r="B7" s="84" t="s">
        <v>6</v>
      </c>
      <c r="C7" s="82"/>
      <c r="D7" s="126"/>
      <c r="E7" s="125"/>
      <c r="F7" s="125"/>
      <c r="G7" s="125"/>
      <c r="H7" s="125"/>
      <c r="I7" s="125"/>
      <c r="J7" s="125"/>
      <c r="K7" s="125"/>
      <c r="L7" s="125"/>
      <c r="M7" s="125"/>
      <c r="N7" s="125">
        <f>IF(BASE!$B$27=1,BASE!$V$27/1000,"")</f>
      </c>
      <c r="O7" s="125">
        <f>IF(BASE!$B$28=1,BASE!$V$28/1000,"")</f>
      </c>
      <c r="P7" s="125">
        <f>IF(BASE!$B$29=1,BASE!$V$29/1000,"")</f>
      </c>
      <c r="Q7" s="125">
        <f>IFERROR(AVERAGE(N7:P7),"")</f>
      </c>
      <c r="R7" s="125">
        <f>IF(BASE!$B$30=1,BASE!$V$30/1000,"")</f>
      </c>
      <c r="S7" s="125">
        <f>IF(BASE!$B$31=1,BASE!$V$31/1000,"")</f>
      </c>
      <c r="T7" s="125">
        <f>IF(BASE!$B$32=1,BASE!$V$32/1000,"")</f>
      </c>
      <c r="U7" s="125">
        <f>IFERROR(AVERAGE(R7:T7),"")</f>
      </c>
      <c r="V7" s="125">
        <f>IF(BASE!$B$33=1,BASE!$V$33/1000,"")</f>
      </c>
      <c r="W7" s="125">
        <f>IF(BASE!$B$34=1,BASE!$V$34/1000,"")</f>
      </c>
      <c r="X7" s="125">
        <f>IF(BASE!$B$35=1,BASE!$V$35/1000,"")</f>
      </c>
      <c r="Y7" s="125">
        <f>IFERROR(AVERAGE(V7:X7),"")</f>
      </c>
      <c r="Z7" s="125">
        <f>IF(BASE!$B$36=1,BASE!$V$36/1000,"")</f>
      </c>
      <c r="AA7" s="125">
        <f>IF(BASE!$B$37=1,BASE!$V$37/1000,"")</f>
      </c>
      <c r="AB7" s="125">
        <f>IF(BASE!$B$38=1,BASE!$V$38/1000,"")</f>
      </c>
      <c r="AC7" s="125">
        <f>IFERROR(AVERAGE(Z7:AB7),"")</f>
      </c>
    </row>
    <row r="8" outlineLevel="1">
      <c r="B8" s="84" t="s">
        <v>22</v>
      </c>
      <c r="C8" s="82"/>
      <c r="D8" s="126"/>
      <c r="E8" s="125"/>
      <c r="F8" s="125"/>
      <c r="G8" s="125"/>
      <c r="H8" s="125"/>
      <c r="I8" s="125"/>
      <c r="J8" s="125"/>
      <c r="K8" s="125"/>
      <c r="L8" s="125"/>
      <c r="M8" s="125"/>
      <c r="N8" s="125">
        <f>IF(BASE!$B$27=1,BASE!$W$27/1000,"")</f>
      </c>
      <c r="O8" s="125">
        <f>IF(BASE!$B$28=1,BASE!$W$28/1000,"")</f>
      </c>
      <c r="P8" s="125">
        <f>IF(BASE!$B$29=1,BASE!$W$29/1000,"")</f>
      </c>
      <c r="Q8" s="125">
        <f>IFERROR(AVERAGE(N8:P8),"")</f>
      </c>
      <c r="R8" s="125">
        <f>IF(BASE!$B$30=1,BASE!$W$30/1000,"")</f>
      </c>
      <c r="S8" s="125">
        <f>IF(BASE!$B$31=1,BASE!$W$31/1000,"")</f>
      </c>
      <c r="T8" s="125">
        <f>IF(BASE!$B$32=1,BASE!$W$32/1000,"")</f>
      </c>
      <c r="U8" s="125">
        <f>IFERROR(AVERAGE(R8:T8),"")</f>
      </c>
      <c r="V8" s="125">
        <f>IF(BASE!$B$33=1,BASE!$W$33/1000,"")</f>
      </c>
      <c r="W8" s="125">
        <f>IF(BASE!$B$34=1,BASE!$W$34/1000,"")</f>
      </c>
      <c r="X8" s="125">
        <f>IF(BASE!$B$35=1,BASE!$W$35/1000,"")</f>
      </c>
      <c r="Y8" s="125">
        <f>IFERROR(AVERAGE(V8:X8),"")</f>
      </c>
      <c r="Z8" s="125">
        <f>IF(BASE!$B$36=1,BASE!$W$36/1000,"")</f>
      </c>
      <c r="AA8" s="125">
        <f>IF(BASE!$B$37=1,BASE!$W$37/1000,"")</f>
      </c>
      <c r="AB8" s="125">
        <f>IF(BASE!$B$38=1,BASE!$W$38/1000,"")</f>
      </c>
      <c r="AC8" s="125">
        <f>IFERROR(AVERAGE(Z8:AB8),"")</f>
      </c>
    </row>
    <row r="9">
      <c r="B9" s="89" t="s">
        <v>3</v>
      </c>
      <c r="C9" s="87">
        <f>SUM(C10:C16)</f>
      </c>
      <c r="D9" s="128">
        <f>SUM(D10:D16)</f>
      </c>
      <c r="E9" s="127"/>
      <c r="F9" s="127"/>
      <c r="G9" s="127"/>
      <c r="H9" s="127"/>
      <c r="I9" s="127"/>
      <c r="J9" s="127"/>
      <c r="K9" s="127"/>
      <c r="L9" s="127"/>
      <c r="M9" s="127"/>
      <c r="N9" s="127">
        <f>IF(BASE!$B$27=1,SUM(N10:N16),"")</f>
      </c>
      <c r="O9" s="127">
        <f>IF(BASE!$B$28=1,SUM(O10:O16),"")</f>
      </c>
      <c r="P9" s="127">
        <f>IF(BASE!$B$29=1,SUM(P10:P16),"")</f>
      </c>
      <c r="Q9" s="127">
        <f>IFERROR(AVERAGE(N9:P9),"")</f>
      </c>
      <c r="R9" s="127">
        <f>IF(BASE!$B$30=1,SUM(R10:R16),"")</f>
      </c>
      <c r="S9" s="127">
        <f>IF(BASE!$B$31=1,SUM(S10:S16),"")</f>
      </c>
      <c r="T9" s="127">
        <f>IF(BASE!$B$32=1,SUM(T10:T16),"")</f>
      </c>
      <c r="U9" s="127">
        <f>IFERROR(AVERAGE(R9:T9),"")</f>
      </c>
      <c r="V9" s="127">
        <f>IF(BASE!$B$33=1,SUM(V10:V16),"")</f>
      </c>
      <c r="W9" s="127">
        <f>IF(BASE!$B$34=1,SUM(W10:W16),"")</f>
      </c>
      <c r="X9" s="127">
        <f>IF(BASE!$B$35=1,SUM(X10:X16),"")</f>
      </c>
      <c r="Y9" s="127">
        <f>IFERROR(AVERAGE(V9:X9),"")</f>
      </c>
      <c r="Z9" s="127">
        <f>IF(BASE!$B$36=1,SUM(Z10:Z16),"")</f>
      </c>
      <c r="AA9" s="127">
        <f>IF(BASE!$B$37=1,SUM(AA10:AA16),"")</f>
      </c>
      <c r="AB9" s="127">
        <f>IF(BASE!$B$38=1,SUM(AB10:AB16),"")</f>
      </c>
      <c r="AC9" s="127">
        <f>IFERROR(AVERAGE(Z9:AB9),"")</f>
      </c>
    </row>
    <row r="10">
      <c r="B10" s="84" t="s">
        <v>4</v>
      </c>
      <c r="C10" s="82"/>
      <c r="D10" s="126"/>
      <c r="E10" s="125"/>
      <c r="F10" s="125"/>
      <c r="G10" s="125"/>
      <c r="H10" s="125"/>
      <c r="I10" s="125"/>
      <c r="J10" s="125"/>
      <c r="K10" s="125"/>
      <c r="L10" s="125"/>
      <c r="M10" s="125"/>
      <c r="N10" s="125">
        <f>IF(BASE!$B$27=1,BASE!$X$27/1000,"")</f>
      </c>
      <c r="O10" s="125">
        <f>IF(BASE!$B$28=1,BASE!$X$28/1000,"")</f>
      </c>
      <c r="P10" s="125">
        <f>IF(BASE!$B$29=1,BASE!$X$29/1000,"")</f>
      </c>
      <c r="Q10" s="125">
        <f>IFERROR(AVERAGE(N10:P10),"")</f>
      </c>
      <c r="R10" s="125">
        <f>IF(BASE!$B$30=1,BASE!$X$30/1000,"")</f>
      </c>
      <c r="S10" s="125">
        <f>IF(BASE!$B$31=1,BASE!$X$31/1000,"")</f>
      </c>
      <c r="T10" s="125">
        <f>IF(BASE!$B$32=1,BASE!$X$32/1000,"")</f>
      </c>
      <c r="U10" s="125">
        <f>IFERROR(AVERAGE(R10:T10),"")</f>
      </c>
      <c r="V10" s="125">
        <f>IF(BASE!$B$33=1,BASE!$X$33/1000,"")</f>
      </c>
      <c r="W10" s="125">
        <f>IF(BASE!$B$34=1,BASE!$X$34/1000,"")</f>
      </c>
      <c r="X10" s="125">
        <f>IF(BASE!$B$35=1,BASE!$X$35/1000,"")</f>
      </c>
      <c r="Y10" s="125">
        <f>IFERROR(AVERAGE(V10:X10),"")</f>
      </c>
      <c r="Z10" s="125">
        <f>IF(BASE!$B$36=1,BASE!$X$36/1000,"")</f>
      </c>
      <c r="AA10" s="125">
        <f>IF(BASE!$B$37=1,BASE!$X$37/1000,"")</f>
      </c>
      <c r="AB10" s="125">
        <f>IF(BASE!$B$38=1,BASE!$X$38/1000,"")</f>
      </c>
      <c r="AC10" s="125">
        <f>IFERROR(AVERAGE(Z10:AB10),"")</f>
      </c>
    </row>
    <row r="11">
      <c r="B11" s="84" t="s">
        <v>5</v>
      </c>
      <c r="C11" s="82"/>
      <c r="D11" s="126"/>
      <c r="E11" s="125"/>
      <c r="F11" s="125"/>
      <c r="G11" s="125"/>
      <c r="H11" s="125"/>
      <c r="I11" s="125"/>
      <c r="J11" s="125"/>
      <c r="K11" s="125"/>
      <c r="L11" s="125"/>
      <c r="M11" s="125"/>
      <c r="N11" s="125">
        <f>IF(BASE!$B$27=1,BASE!$Y$27/1000,"")</f>
      </c>
      <c r="O11" s="125">
        <f>IF(BASE!$B$28=1,BASE!$Y$28/1000,"")</f>
      </c>
      <c r="P11" s="125">
        <f>IF(BASE!$B$29=1,BASE!$Y$29/1000,"")</f>
      </c>
      <c r="Q11" s="125">
        <f>IFERROR(AVERAGE(N11:P11),"")</f>
      </c>
      <c r="R11" s="125">
        <f>IF(BASE!$B$30=1,BASE!$Y$30/1000,"")</f>
      </c>
      <c r="S11" s="125">
        <f>IF(BASE!$B$31=1,BASE!$Y$31/1000,"")</f>
      </c>
      <c r="T11" s="125">
        <f>IF(BASE!$B$32=1,BASE!$Y$32/1000,"")</f>
      </c>
      <c r="U11" s="125">
        <f>IFERROR(AVERAGE(R11:T11),"")</f>
      </c>
      <c r="V11" s="125">
        <f>IF(BASE!$B$33=1,BASE!$Y$33/1000,"")</f>
      </c>
      <c r="W11" s="125">
        <f>IF(BASE!$B$34=1,BASE!$Y$34/1000,"")</f>
      </c>
      <c r="X11" s="125">
        <f>IF(BASE!$B$35=1,BASE!$Y$35/1000,"")</f>
      </c>
      <c r="Y11" s="125">
        <f>IFERROR(AVERAGE(V11:X11),"")</f>
      </c>
      <c r="Z11" s="125">
        <f>IF(BASE!$B$36=1,BASE!$Y$36/1000,"")</f>
      </c>
      <c r="AA11" s="125">
        <f>IF(BASE!$B$37=1,BASE!$Y$37/1000,"")</f>
      </c>
      <c r="AB11" s="125">
        <f>IF(BASE!$B$38=1,BASE!$Y$38/1000,"")</f>
      </c>
      <c r="AC11" s="125">
        <f>IFERROR(AVERAGE(Z11:AB11),"")</f>
      </c>
    </row>
    <row r="12">
      <c r="B12" s="84" t="s">
        <v>6</v>
      </c>
      <c r="C12" s="82"/>
      <c r="D12" s="126"/>
      <c r="E12" s="125"/>
      <c r="F12" s="125"/>
      <c r="G12" s="125"/>
      <c r="H12" s="125"/>
      <c r="I12" s="125"/>
      <c r="J12" s="125"/>
      <c r="K12" s="125"/>
      <c r="L12" s="125"/>
      <c r="M12" s="125"/>
      <c r="N12" s="125">
        <f>IF(BASE!$B$27=1,BASE!$Z$27/1000,"")</f>
      </c>
      <c r="O12" s="125">
        <f>IF(BASE!$B$28=1,BASE!$Z$28/1000,"")</f>
      </c>
      <c r="P12" s="125">
        <f>IF(BASE!$B$29=1,BASE!$Z$29/1000,"")</f>
      </c>
      <c r="Q12" s="125">
        <f>IFERROR(AVERAGE(N12:P12),"")</f>
      </c>
      <c r="R12" s="125">
        <f>IF(BASE!$B$30=1,BASE!$Z$30/1000,"")</f>
      </c>
      <c r="S12" s="125">
        <f>IF(BASE!$B$31=1,BASE!$Z$31/1000,"")</f>
      </c>
      <c r="T12" s="125">
        <f>IF(BASE!$B$32=1,BASE!$Z$32/1000,"")</f>
      </c>
      <c r="U12" s="125">
        <f>IFERROR(AVERAGE(R12:T12),"")</f>
      </c>
      <c r="V12" s="125">
        <f>IF(BASE!$B$33=1,BASE!$Z$33/1000,"")</f>
      </c>
      <c r="W12" s="125">
        <f>IF(BASE!$B$34=1,BASE!$Z$34/1000,"")</f>
      </c>
      <c r="X12" s="125">
        <f>IF(BASE!$B$35=1,BASE!$Z$35/1000,"")</f>
      </c>
      <c r="Y12" s="125">
        <f>IFERROR(AVERAGE(V12:X12),"")</f>
      </c>
      <c r="Z12" s="125">
        <f>IF(BASE!$B$36=1,BASE!$Z$36/1000,"")</f>
      </c>
      <c r="AA12" s="125">
        <f>IF(BASE!$B$37=1,BASE!$Z$37/1000,"")</f>
      </c>
      <c r="AB12" s="125">
        <f>IF(BASE!$B$38=1,BASE!$Z$38/1000,"")</f>
      </c>
      <c r="AC12" s="125">
        <f>IFERROR(AVERAGE(Z12:AB12),"")</f>
      </c>
    </row>
    <row r="13">
      <c r="B13" s="84" t="s">
        <v>7</v>
      </c>
      <c r="C13" s="82"/>
      <c r="D13" s="126"/>
      <c r="E13" s="125"/>
      <c r="F13" s="125"/>
      <c r="G13" s="125"/>
      <c r="H13" s="125"/>
      <c r="I13" s="125"/>
      <c r="J13" s="125"/>
      <c r="K13" s="125"/>
      <c r="L13" s="125"/>
      <c r="M13" s="125"/>
      <c r="N13" s="125">
        <f>IF(BASE!$B$27=1,BASE!$AA$27/1000,"")</f>
      </c>
      <c r="O13" s="125">
        <f>IF(BASE!$B$28=1,BASE!$AA$28/1000,"")</f>
      </c>
      <c r="P13" s="125">
        <f>IF(BASE!$B$29=1,BASE!$AA$29/1000,"")</f>
      </c>
      <c r="Q13" s="125">
        <f>IFERROR(AVERAGE(N13:P13),"")</f>
      </c>
      <c r="R13" s="125">
        <f>IF(BASE!$B$30=1,BASE!$AA$30/1000,"")</f>
      </c>
      <c r="S13" s="125">
        <f>IF(BASE!$B$31=1,BASE!$AA$31/1000,"")</f>
      </c>
      <c r="T13" s="125">
        <f>IF(BASE!$B$32=1,BASE!$AA$32/1000,"")</f>
      </c>
      <c r="U13" s="125">
        <f>IFERROR(AVERAGE(R13:T13),"")</f>
      </c>
      <c r="V13" s="125">
        <f>IF(BASE!$B$33=1,BASE!$AA$33/1000,"")</f>
      </c>
      <c r="W13" s="125">
        <f>IF(BASE!$B$34=1,BASE!$AA$34/1000,"")</f>
      </c>
      <c r="X13" s="125">
        <f>IF(BASE!$B$35=1,BASE!$AA$35/1000,"")</f>
      </c>
      <c r="Y13" s="125">
        <f>IFERROR(AVERAGE(V13:X13),"")</f>
      </c>
      <c r="Z13" s="125">
        <f>IF(BASE!$B$36=1,BASE!$AA$36/1000,"")</f>
      </c>
      <c r="AA13" s="125">
        <f>IF(BASE!$B$37=1,BASE!$AA$37/1000,"")</f>
      </c>
      <c r="AB13" s="125">
        <f>IF(BASE!$B$38=1,BASE!$AA$38/1000,"")</f>
      </c>
      <c r="AC13" s="125">
        <f>IFERROR(AVERAGE(Z13:AB13),"")</f>
      </c>
    </row>
    <row r="14">
      <c r="B14" s="84" t="s">
        <v>8</v>
      </c>
      <c r="C14" s="82"/>
      <c r="D14" s="126"/>
      <c r="E14" s="125"/>
      <c r="F14" s="125"/>
      <c r="G14" s="125"/>
      <c r="H14" s="125"/>
      <c r="I14" s="125"/>
      <c r="J14" s="125"/>
      <c r="K14" s="125"/>
      <c r="L14" s="125"/>
      <c r="M14" s="125"/>
      <c r="N14" s="125">
        <f>IF(BASE!$B$27=1,BASE!$AB$27/1000,"")</f>
      </c>
      <c r="O14" s="125">
        <f>IF(BASE!$B$28=1,BASE!$AB$28/1000,"")</f>
      </c>
      <c r="P14" s="125">
        <f>IF(BASE!$B$29=1,BASE!$AB$29/1000,"")</f>
      </c>
      <c r="Q14" s="125">
        <f>IFERROR(AVERAGE(N14:P14),"")</f>
      </c>
      <c r="R14" s="125">
        <f>IF(BASE!$B$30=1,BASE!$AB$30/1000,"")</f>
      </c>
      <c r="S14" s="125">
        <f>IF(BASE!$B$31=1,BASE!$AB$31/1000,"")</f>
      </c>
      <c r="T14" s="125">
        <f>IF(BASE!$B$32=1,BASE!$AB$32/1000,"")</f>
      </c>
      <c r="U14" s="125">
        <f>IFERROR(AVERAGE(R14:T14),"")</f>
      </c>
      <c r="V14" s="125">
        <f>IF(BASE!$B$33=1,BASE!$AB$33/1000,"")</f>
      </c>
      <c r="W14" s="125">
        <f>IF(BASE!$B$34=1,BASE!$AB$34/1000,"")</f>
      </c>
      <c r="X14" s="125">
        <f>IF(BASE!$B$35=1,BASE!$AB$35/1000,"")</f>
      </c>
      <c r="Y14" s="125">
        <f>IFERROR(AVERAGE(V14:X14),"")</f>
      </c>
      <c r="Z14" s="125">
        <f>IF(BASE!$B$36=1,BASE!$AB$36/1000,"")</f>
      </c>
      <c r="AA14" s="125">
        <f>IF(BASE!$B$37=1,BASE!$AB$37/1000,"")</f>
      </c>
      <c r="AB14" s="125">
        <f>IF(BASE!$B$38=1,BASE!$AB$38/1000,"")</f>
      </c>
      <c r="AC14" s="125">
        <f>IFERROR(AVERAGE(Z14:AB14),"")</f>
      </c>
    </row>
    <row r="15">
      <c r="B15" s="84" t="s">
        <v>9</v>
      </c>
      <c r="C15" s="82"/>
      <c r="D15" s="126"/>
      <c r="E15" s="125"/>
      <c r="F15" s="125"/>
      <c r="G15" s="125"/>
      <c r="H15" s="125"/>
      <c r="I15" s="125"/>
      <c r="J15" s="125"/>
      <c r="K15" s="125"/>
      <c r="L15" s="125"/>
      <c r="M15" s="125"/>
      <c r="N15" s="125">
        <f>IF(BASE!$B$27=1,BASE!$AC$27/1000,"")</f>
      </c>
      <c r="O15" s="125">
        <f>IF(BASE!$B$28=1,BASE!$AC$28/1000,"")</f>
      </c>
      <c r="P15" s="125">
        <f>IF(BASE!$B$29=1,BASE!$AC$29/1000,"")</f>
      </c>
      <c r="Q15" s="125">
        <f>IFERROR(AVERAGE(N15:P15),"")</f>
      </c>
      <c r="R15" s="125">
        <f>IF(BASE!$B$30=1,BASE!$AC$30/1000,"")</f>
      </c>
      <c r="S15" s="125">
        <f>IF(BASE!$B$31=1,BASE!$AC$31/1000,"")</f>
      </c>
      <c r="T15" s="125">
        <f>IF(BASE!$B$32=1,BASE!$AC$32/1000,"")</f>
      </c>
      <c r="U15" s="125">
        <f>IFERROR(AVERAGE(R15:T15),"")</f>
      </c>
      <c r="V15" s="125">
        <f>IF(BASE!$B$33=1,BASE!$AC$33/1000,"")</f>
      </c>
      <c r="W15" s="125">
        <f>IF(BASE!$B$34=1,BASE!$AC$34/1000,"")</f>
      </c>
      <c r="X15" s="125">
        <f>IF(BASE!$B$35=1,BASE!$AC$35/1000,"")</f>
      </c>
      <c r="Y15" s="125">
        <f>IFERROR(AVERAGE(V15:X15),"")</f>
      </c>
      <c r="Z15" s="125">
        <f>IF(BASE!$B$36=1,BASE!$AC$36/1000,"")</f>
      </c>
      <c r="AA15" s="125">
        <f>IF(BASE!$B$37=1,BASE!$AC$37/1000,"")</f>
      </c>
      <c r="AB15" s="125">
        <f>IF(BASE!$B$38=1,BASE!$AC$38/1000,"")</f>
      </c>
      <c r="AC15" s="125">
        <f>IFERROR(AVERAGE(Z15:AB15),"")</f>
      </c>
    </row>
    <row r="16">
      <c r="B16" s="84" t="s">
        <v>10</v>
      </c>
      <c r="C16" s="82"/>
      <c r="D16" s="126"/>
      <c r="E16" s="125"/>
      <c r="F16" s="125"/>
      <c r="G16" s="125"/>
      <c r="H16" s="125"/>
      <c r="I16" s="125"/>
      <c r="J16" s="125"/>
      <c r="K16" s="125"/>
      <c r="L16" s="125"/>
      <c r="M16" s="125"/>
      <c r="N16" s="125">
        <f>IF(BASE!$B$27=1,BASE!$AD$27/1000,"")</f>
      </c>
      <c r="O16" s="125">
        <f>IF(BASE!$B$28=1,BASE!$AD$28/1000,"")</f>
      </c>
      <c r="P16" s="125">
        <f>IF(BASE!$B$29=1,BASE!$AD$29/1000,"")</f>
      </c>
      <c r="Q16" s="125">
        <f>IFERROR(AVERAGE(N16:P16),"")</f>
      </c>
      <c r="R16" s="125">
        <f>IF(BASE!$B$30=1,BASE!$AD$30/1000,"")</f>
      </c>
      <c r="S16" s="125">
        <f>IF(BASE!$B$31=1,BASE!$AD$31/1000,"")</f>
      </c>
      <c r="T16" s="125">
        <f>IF(BASE!$B$32=1,BASE!$AD$32/1000,"")</f>
      </c>
      <c r="U16" s="125">
        <f>IFERROR(AVERAGE(R16:T16),"")</f>
      </c>
      <c r="V16" s="125">
        <f>IF(BASE!$B$33=1,BASE!$AD$33/1000,"")</f>
      </c>
      <c r="W16" s="125">
        <f>IF(BASE!$B$34=1,BASE!$AD$34/1000,"")</f>
      </c>
      <c r="X16" s="125">
        <f>IF(BASE!$B$35=1,BASE!$AD$35/1000,"")</f>
      </c>
      <c r="Y16" s="125">
        <f>IFERROR(AVERAGE(V16:X16),"")</f>
      </c>
      <c r="Z16" s="125">
        <f>IF(BASE!$B$36=1,BASE!$AD$36/1000,"")</f>
      </c>
      <c r="AA16" s="125">
        <f>IF(BASE!$B$37=1,BASE!$AD$37/1000,"")</f>
      </c>
      <c r="AB16" s="125">
        <f>IF(BASE!$B$38=1,BASE!$AD$38/1000,"")</f>
      </c>
      <c r="AC16" s="125">
        <f>IFERROR(AVERAGE(Z16:AB16),"")</f>
      </c>
    </row>
    <row r="17" ht="18" thickBot="1">
      <c r="B17" s="79" t="s">
        <v>15</v>
      </c>
      <c r="C17" s="77">
        <f>SUM(C4,C9)</f>
      </c>
      <c r="D17" s="124"/>
      <c r="E17" s="123"/>
      <c r="F17" s="123"/>
      <c r="G17" s="123"/>
      <c r="H17" s="123"/>
      <c r="I17" s="123"/>
      <c r="J17" s="123"/>
      <c r="K17" s="123"/>
      <c r="L17" s="123"/>
      <c r="M17" s="123"/>
      <c r="N17" s="123">
        <f>IF(BASE!$B$27=1,SUM(N4,N9),"")</f>
      </c>
      <c r="O17" s="123">
        <f>IF(BASE!$B$28=1,SUM(O4,O9),"")</f>
      </c>
      <c r="P17" s="123">
        <f>IF(BASE!$B$29=1,SUM(P4,P9),"")</f>
      </c>
      <c r="Q17" s="123">
        <f>IFERROR(AVERAGE(N17:P17),"")</f>
      </c>
      <c r="R17" s="123">
        <f>IF(BASE!$B$30=1,SUM(R4,R9),"")</f>
      </c>
      <c r="S17" s="123">
        <f>IF(BASE!$B$31=1,SUM(S4,S9),"")</f>
      </c>
      <c r="T17" s="123">
        <f>IF(BASE!$B$32=1,SUM(T4,T9),"")</f>
      </c>
      <c r="U17" s="123">
        <f>IFERROR(AVERAGE(R17:T17),"")</f>
      </c>
      <c r="V17" s="123">
        <f>IF(BASE!$B$33=1,SUM(V4,V9),"")</f>
      </c>
      <c r="W17" s="123">
        <f>IF(BASE!$B$34=1,SUM(W4,W9),"")</f>
      </c>
      <c r="X17" s="123">
        <f>IF(BASE!$B$35=1,SUM(X4,X9),"")</f>
      </c>
      <c r="Y17" s="123">
        <f>IFERROR(AVERAGE(V17:X17),"")</f>
      </c>
      <c r="Z17" s="123">
        <f>IF(BASE!$B$36=1,SUM(Z4,Z9),"")</f>
      </c>
      <c r="AA17" s="123">
        <f>IF(BASE!$B$37=1,SUM(AA4,AA9),"")</f>
      </c>
      <c r="AB17" s="123">
        <f>IF(BASE!$B$38=1,SUM(AB4,AB9),"")</f>
      </c>
      <c r="AC17" s="123">
        <f>IFERROR(AVERAGE(Z17:AB17),"")</f>
      </c>
    </row>
  </sheetData>
  <phoneticPr fontId="97" type="noConversion"/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N4:O4 N9:P9 N17:Q17" unlockedFormula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3FF7-2AB7-4D15-9F8E-C0A5DFA2491A}">
  <sheetPr>
    <tabColor theme="1"/>
  </sheetPr>
  <dimension ref="A1"/>
  <sheetViews>
    <sheetView showGridLines="0" workbookViewId="0"/>
  </sheetViews>
  <sheetFormatPr defaultRowHeight="14.4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0DC8-4C18-40B1-B043-FCFC7390C7E1}">
  <dimension ref="B1:AF28"/>
  <sheetViews>
    <sheetView showGridLines="0" workbookViewId="0"/>
  </sheetViews>
  <sheetFormatPr defaultRowHeight="14.4"/>
  <cols>
    <col min="1" max="1" width="4.44140625" bestFit="1" customWidth="1"/>
    <col min="2" max="2" width="10.6640625" hidden="1" customWidth="1"/>
    <col min="3" max="3" width="10.6640625" bestFit="1" customWidth="1"/>
    <col min="4" max="4" width="6.33203125" bestFit="1" customWidth="1"/>
    <col min="5" max="5" width="5" bestFit="1" customWidth="1"/>
    <col min="6" max="6" width="9.44140625" bestFit="1" customWidth="1"/>
    <col min="7" max="7" width="10.44140625" bestFit="1" customWidth="1"/>
    <col min="8" max="8" width="10.5546875" bestFit="1" customWidth="1"/>
    <col min="9" max="9" width="11.109375" customWidth="1"/>
    <col min="10" max="10" width="10.109375" bestFit="1" customWidth="1"/>
    <col min="11" max="11" width="10.109375" customWidth="1"/>
    <col min="12" max="12" width="8.5546875" bestFit="1" customWidth="1"/>
    <col min="13" max="13" width="12.109375" bestFit="1" customWidth="1"/>
    <col min="16" max="16" width="13.88671875" customWidth="1"/>
  </cols>
  <sheetData>
    <row r="1">
      <c r="B1">
        <v>1000000</v>
      </c>
      <c r="K1" s="931" t="s">
        <v>45</v>
      </c>
    </row>
    <row r="2">
      <c r="G2" s="1113" t="s">
        <v>44</v>
      </c>
      <c r="H2" s="1113"/>
      <c r="I2" s="1114" t="s">
        <v>46</v>
      </c>
      <c r="J2" s="1114"/>
      <c r="L2" s="1044" t="s">
        <v>44</v>
      </c>
      <c r="M2" s="1045" t="s">
        <v>46</v>
      </c>
    </row>
    <row r="3">
      <c r="D3" t="s">
        <v>38</v>
      </c>
      <c r="E3" t="s">
        <v>37</v>
      </c>
      <c r="F3" t="s">
        <v>13</v>
      </c>
      <c r="G3" s="52" t="s">
        <v>35</v>
      </c>
      <c r="H3" s="52" t="s">
        <v>34</v>
      </c>
      <c r="I3" s="52" t="s">
        <v>35</v>
      </c>
      <c r="J3" s="52" t="s">
        <v>34</v>
      </c>
      <c r="K3" s="52"/>
    </row>
    <row r="4">
      <c r="C4" s="218">
        <f>EOMONTH(BASE!$A$14,0)</f>
      </c>
      <c r="D4">
        <f>VLOOKUP(MONTH(C4),$AE$16:$AF$27,2,0)</f>
      </c>
      <c r="E4">
        <f>YEAR(C4)</f>
      </c>
      <c r="F4" s="497">
        <f>EOMONTH(BASE!$A$14,0)</f>
      </c>
      <c r="G4" s="52">
        <f>IF(ISNUMBER(BASE!$AE$13),BASE!$AE$13,"")</f>
      </c>
      <c r="H4" s="52">
        <f>IF(AND(BASE!$B$14=1,ISNUMBER(BASE!$AE$14)),BASE!$AE$14,"")</f>
      </c>
      <c r="I4" s="52">
        <f>IF(ISNUMBER(BASE!$AF$13),BASE!$AF$13,"")</f>
      </c>
      <c r="J4" s="52">
        <f>IF(AND(BASE!$B$14=1,ISNUMBER(BASE!$AF$14)),BASE!$AF$14,"")</f>
      </c>
      <c r="K4" s="52"/>
      <c r="L4" s="66">
        <f>IF(AND(ISNUMBER(H4),ISNUMBER(G4)),H4-G4,"")</f>
      </c>
      <c r="M4" s="496">
        <f>IF(AND(ISNUMBER(J4),ISNUMBER(I4)),J4-I4,"")</f>
      </c>
    </row>
    <row r="5">
      <c r="C5" s="218">
        <f>EOMONTH(BASE!$A$15,0)</f>
      </c>
      <c r="D5">
        <f>VLOOKUP(MONTH(C5),$AE$16:$AF$27,2,0)</f>
      </c>
      <c r="E5">
        <f>YEAR(C5)</f>
      </c>
      <c r="F5" s="497">
        <f>EOMONTH(BASE!$A$15,0)</f>
      </c>
      <c r="G5">
        <f>IF(BASE!$B$15=1,H4,"")</f>
      </c>
      <c r="H5">
        <f>IF(AND(BASE!$B$15=1,ISNUMBER(BASE!$AE$15)),BASE!$AE$15,"")</f>
      </c>
      <c r="I5">
        <f>IF(BASE!$B$15=1,J4,"")</f>
      </c>
      <c r="J5">
        <f>IF(AND(BASE!$B$15=1,ISNUMBER(BASE!$AF$15)),BASE!$AF$15,"")</f>
      </c>
      <c r="L5" s="66">
        <f>IF(AND(ISNUMBER(H5),ISNUMBER(G5)),H5-G5,"")</f>
      </c>
      <c r="M5" s="496">
        <f>IF(AND(ISNUMBER(J5),ISNUMBER(I5)),J5-I5,"")</f>
      </c>
    </row>
    <row r="6">
      <c r="C6" s="218">
        <f>EOMONTH(BASE!$A$16,0)</f>
      </c>
      <c r="D6">
        <f>VLOOKUP(MONTH(C6),$AE$16:$AF$27,2,0)</f>
      </c>
      <c r="E6">
        <f>YEAR(C6)</f>
      </c>
      <c r="F6" s="497">
        <f>EOMONTH(BASE!$A$16,0)</f>
      </c>
      <c r="G6">
        <f>IF(BASE!$B$16=1,H5,"")</f>
      </c>
      <c r="H6">
        <f>IF(AND(BASE!$B$16=1,ISNUMBER(BASE!$AE$16)),BASE!$AE$16,"")</f>
      </c>
      <c r="I6">
        <f>IF(BASE!$B$16=1,J5,"")</f>
      </c>
      <c r="J6">
        <f>IF(AND(BASE!$B$16=1,ISNUMBER(BASE!$AF$16)),BASE!$AF$16,"")</f>
      </c>
      <c r="L6" s="66">
        <f>IF(AND(ISNUMBER(H6),ISNUMBER(G6)),H6-G6,"")</f>
      </c>
      <c r="M6" s="496">
        <f>IF(AND(ISNUMBER(J6),ISNUMBER(I6)),J6-I6,"")</f>
      </c>
    </row>
    <row r="7">
      <c r="C7" s="218">
        <f>EOMONTH(BASE!$A$17,0)</f>
      </c>
      <c r="D7">
        <f>VLOOKUP(MONTH(C7),$AE$16:$AF$27,2,0)</f>
      </c>
      <c r="E7">
        <f>YEAR(C7)</f>
      </c>
      <c r="F7" s="497">
        <f>EOMONTH(BASE!$A$17,0)</f>
      </c>
      <c r="G7">
        <f>IF(BASE!$B$17=1,H6,"")</f>
      </c>
      <c r="H7">
        <f>IF(AND(BASE!$B$17=1,ISNUMBER(BASE!$AE$17)),BASE!$AE$17,"")</f>
      </c>
      <c r="I7">
        <f>IF(BASE!$B$17=1,J6,"")</f>
      </c>
      <c r="J7">
        <f>IF(AND(BASE!$B$17=1,ISNUMBER(BASE!$AF$17)),BASE!$AF$17,"")</f>
      </c>
      <c r="L7" s="66">
        <f>IF(AND(ISNUMBER(H7),ISNUMBER(G7)),H7-G7,"")</f>
      </c>
      <c r="M7" s="496">
        <f>IF(AND(ISNUMBER(J7),ISNUMBER(I7)),J7-I7,"")</f>
      </c>
    </row>
    <row r="8">
      <c r="C8" s="218">
        <f>EOMONTH(BASE!$A$18,0)</f>
      </c>
      <c r="D8">
        <f>VLOOKUP(MONTH(C8),$AE$16:$AF$27,2,0)</f>
      </c>
      <c r="E8">
        <f>YEAR(C8)</f>
      </c>
      <c r="F8" s="497">
        <f>EOMONTH(BASE!$A$18,0)</f>
      </c>
      <c r="G8">
        <f>IF(BASE!$B$18=1,H7,"")</f>
      </c>
      <c r="H8">
        <f>IF(AND(BASE!$B$18=1,ISNUMBER(BASE!$AE$18)),BASE!$AE$18,"")</f>
      </c>
      <c r="I8">
        <f>IF(BASE!$B$18=1,J7,"")</f>
      </c>
      <c r="J8">
        <f>IF(AND(BASE!$B$18=1,ISNUMBER(BASE!$AF$18)),BASE!$AF$18,"")</f>
      </c>
      <c r="K8" s="496"/>
      <c r="L8" s="66">
        <f>IF(AND(ISNUMBER(H8),ISNUMBER(G8)),H8-G8,"")</f>
      </c>
      <c r="M8" s="496">
        <f>IF(AND(ISNUMBER(J8),ISNUMBER(I8)),J8-I8,"")</f>
      </c>
    </row>
    <row r="9">
      <c r="C9" s="218">
        <f>EOMONTH(BASE!$A$19,0)</f>
      </c>
      <c r="D9">
        <f>VLOOKUP(MONTH(C9),$AE$16:$AF$27,2,0)</f>
      </c>
      <c r="E9">
        <f>YEAR(C9)</f>
      </c>
      <c r="F9" s="497">
        <f>EOMONTH(BASE!$A$19,0)</f>
      </c>
      <c r="G9">
        <f>IF(BASE!$B$19=1,H8,"")</f>
      </c>
      <c r="H9">
        <f>IF(AND(BASE!$B$19=1,ISNUMBER(BASE!$AE$19)),BASE!$AE$19,"")</f>
      </c>
      <c r="I9">
        <f>IF(BASE!$B$19=1,J8,"")</f>
      </c>
      <c r="J9">
        <f>IF(AND(BASE!$B$19=1,ISNUMBER(BASE!$AF$19)),BASE!$AF$19,"")</f>
      </c>
      <c r="K9" s="496"/>
      <c r="L9" s="66">
        <f>IF(AND(ISNUMBER(H9),ISNUMBER(G9)),H9-G9,"")</f>
      </c>
      <c r="M9" s="496">
        <f>IF(AND(ISNUMBER(J9),ISNUMBER(I9)),J9-I9,"")</f>
      </c>
    </row>
    <row r="10">
      <c r="C10" s="218">
        <f>EOMONTH(BASE!$A$20,0)</f>
      </c>
      <c r="D10">
        <f>VLOOKUP(MONTH(C10),$AE$16:$AF$27,2,0)</f>
      </c>
      <c r="E10">
        <f>YEAR(C10)</f>
      </c>
      <c r="F10" s="497">
        <f>EOMONTH(BASE!$A$20,0)</f>
      </c>
      <c r="G10">
        <f>IF(BASE!$B$20=1,H9,"")</f>
      </c>
      <c r="H10">
        <f>IF(AND(BASE!$B$20=1,ISNUMBER(BASE!$AE$20)),BASE!$AE$20,"")</f>
      </c>
      <c r="I10">
        <f>IF(BASE!$B$20=1,J9,"")</f>
      </c>
      <c r="J10">
        <f>IF(AND(BASE!$B$20=1,ISNUMBER(BASE!$AF$20)),BASE!$AF$20,"")</f>
      </c>
      <c r="K10" s="496"/>
      <c r="L10" s="66">
        <f>IF(AND(ISNUMBER(H10),ISNUMBER(G10)),H10-G10,"")</f>
      </c>
      <c r="M10" s="496">
        <f>IF(AND(ISNUMBER(J10),ISNUMBER(I10)),J10-I10,"")</f>
      </c>
    </row>
    <row r="11">
      <c r="C11" s="218">
        <f>EOMONTH(BASE!$A$21,0)</f>
      </c>
      <c r="D11">
        <f>VLOOKUP(MONTH(C11),$AE$16:$AF$27,2,0)</f>
      </c>
      <c r="E11">
        <f>YEAR(C11)</f>
      </c>
      <c r="F11" s="497">
        <f>EOMONTH(BASE!$A$21,0)</f>
      </c>
      <c r="G11">
        <f>IF(BASE!$B$21=1,H10,"")</f>
      </c>
      <c r="H11">
        <f>IF(AND(BASE!$B$21=1,ISNUMBER(BASE!$AE$21)),BASE!$AE$21,"")</f>
      </c>
      <c r="I11">
        <f>IF(BASE!$B$21=1,J10,"")</f>
      </c>
      <c r="J11">
        <f>IF(AND(BASE!$B$21=1,ISNUMBER(BASE!$AF$21)),BASE!$AF$21,"")</f>
      </c>
      <c r="K11" s="496"/>
      <c r="L11" s="66">
        <f>IF(AND(ISNUMBER(H11),ISNUMBER(G11)),H11-G11,"")</f>
      </c>
      <c r="M11" s="496">
        <f>IF(AND(ISNUMBER(J11),ISNUMBER(I11)),J11-I11,"")</f>
      </c>
    </row>
    <row r="12">
      <c r="C12" s="218">
        <f>EOMONTH(BASE!$A$22,0)</f>
      </c>
      <c r="D12">
        <f>VLOOKUP(MONTH(C12),$AE$16:$AF$27,2,0)</f>
      </c>
      <c r="E12">
        <f>YEAR(C12)</f>
      </c>
      <c r="F12" s="497">
        <f>EOMONTH(BASE!$A$22,0)</f>
      </c>
      <c r="G12">
        <f>IF(BASE!$B$22=1,H11,"")</f>
      </c>
      <c r="H12">
        <f>IF(AND(BASE!$B$22=1,ISNUMBER(BASE!$AE$22)),BASE!$AE$22,"")</f>
      </c>
      <c r="I12">
        <f>IF(BASE!$B$22=1,J11,"")</f>
      </c>
      <c r="J12">
        <f>IF(AND(BASE!$B$22=1,ISNUMBER(BASE!$AF$22)),BASE!$AF$22,"")</f>
      </c>
      <c r="K12" s="496"/>
      <c r="L12" s="66">
        <f>IF(AND(ISNUMBER(H12),ISNUMBER(G12)),H12-G12,"")</f>
      </c>
      <c r="M12" s="496">
        <f>IF(AND(ISNUMBER(J12),ISNUMBER(I12)),J12-I12,"")</f>
      </c>
    </row>
    <row r="13">
      <c r="C13" s="218">
        <f>EOMONTH(BASE!$A$23,0)</f>
      </c>
      <c r="D13">
        <f>VLOOKUP(MONTH(C13),$AE$16:$AF$27,2,0)</f>
      </c>
      <c r="E13">
        <f>YEAR(C13)</f>
      </c>
      <c r="F13" s="497">
        <f>EOMONTH(BASE!$A$23,0)</f>
      </c>
      <c r="G13">
        <f>IF(BASE!$B$23=1,H12,"")</f>
      </c>
      <c r="H13">
        <f>IF(AND(BASE!$B$23=1,ISNUMBER(BASE!$AE$23)),BASE!$AE$23,"")</f>
      </c>
      <c r="I13">
        <f>IF(BASE!$B$23=1,J12,"")</f>
      </c>
      <c r="J13">
        <f>IF(AND(BASE!$B$23=1,ISNUMBER(BASE!$AF$23)),BASE!$AF$23,"")</f>
      </c>
      <c r="K13" s="496"/>
      <c r="L13" s="66">
        <f>IF(AND(ISNUMBER(H13),ISNUMBER(G13)),H13-G13,"")</f>
      </c>
      <c r="M13" s="496">
        <f>IF(AND(ISNUMBER(J13),ISNUMBER(I13)),J13-I13,"")</f>
      </c>
    </row>
    <row r="14">
      <c r="C14" s="218">
        <f>EOMONTH(BASE!$A$24,0)</f>
      </c>
      <c r="D14">
        <f>VLOOKUP(MONTH(C14),$AE$16:$AF$27,2,0)</f>
      </c>
      <c r="E14">
        <f>YEAR(C14)</f>
      </c>
      <c r="F14" s="497">
        <f>EOMONTH(BASE!$A$24,0)</f>
      </c>
      <c r="G14">
        <f>IF(BASE!$B$24=1,H13,"")</f>
      </c>
      <c r="H14">
        <f>IF(AND(BASE!$B$24=1,ISNUMBER(BASE!$AE$24)),BASE!$AE$24,"")</f>
      </c>
      <c r="I14">
        <f>IF(BASE!$B$24=1,J13,"")</f>
      </c>
      <c r="J14">
        <f>IF(AND(BASE!$B$24=1,ISNUMBER(BASE!$AF$24)),BASE!$AF$24,"")</f>
      </c>
      <c r="K14" s="496"/>
      <c r="L14" s="66">
        <f>IF(AND(ISNUMBER(H14),ISNUMBER(G14)),H14-G14,"")</f>
      </c>
      <c r="M14" s="496">
        <f>IF(AND(ISNUMBER(J14),ISNUMBER(I14)),J14-I14,"")</f>
      </c>
    </row>
    <row r="15">
      <c r="C15" s="218">
        <f>EOMONTH(BASE!$A$25,0)</f>
      </c>
      <c r="D15">
        <f>VLOOKUP(MONTH(C15),$AE$16:$AF$27,2,0)</f>
      </c>
      <c r="E15">
        <f>YEAR(C15)</f>
      </c>
      <c r="F15" s="497">
        <f>EOMONTH(BASE!$A$25,0)</f>
      </c>
      <c r="G15">
        <f>IF(BASE!$B$25=1,H14,"")</f>
      </c>
      <c r="H15">
        <f>IF(AND(BASE!$B$25=1,ISNUMBER(BASE!$AE$25)),BASE!$AE$25,"")</f>
      </c>
      <c r="I15">
        <f>IF(BASE!$B$25=1,J14,"")</f>
      </c>
      <c r="J15">
        <f>IF(AND(BASE!$B$25=1,ISNUMBER(BASE!$AF$25)),BASE!$AF$25,"")</f>
      </c>
      <c r="K15" s="496"/>
      <c r="L15" s="66">
        <f>IF(AND(ISNUMBER(H15),ISNUMBER(G15)),H15-G15,"")</f>
      </c>
      <c r="M15" s="496">
        <f>IF(AND(ISNUMBER(J15),ISNUMBER(I15)),J15-I15,"")</f>
      </c>
    </row>
    <row r="16">
      <c r="C16" s="218">
        <f>EOMONTH(BASE!$A$26,0)</f>
      </c>
      <c r="D16">
        <f>VLOOKUP(MONTH(C16),$AE$16:$AF$27,2,0)</f>
      </c>
      <c r="E16">
        <f>YEAR(C16)</f>
      </c>
      <c r="F16" s="497">
        <f>EOMONTH(BASE!$A$26,0)</f>
      </c>
      <c r="G16">
        <f>IF(BASE!$B$26=1,H15,"")</f>
      </c>
      <c r="H16">
        <f>IF(AND(BASE!$B$26=1,ISNUMBER(BASE!$AE$26)),BASE!$AE$26,"")</f>
      </c>
      <c r="I16">
        <f>IF(BASE!$B$26=1,J15,"")</f>
      </c>
      <c r="J16">
        <f>IF(AND(BASE!$B$26=1,ISNUMBER(BASE!$AF$26)),BASE!$AF$26,"")</f>
      </c>
      <c r="K16" s="496"/>
      <c r="L16" s="66">
        <f>IF(AND(ISNUMBER(H16),ISNUMBER(G16)),H16-G16,"")</f>
      </c>
      <c r="M16" s="496">
        <f>IF(AND(ISNUMBER(J16),ISNUMBER(I16)),J16-I16,"")</f>
      </c>
      <c r="AE16">
        <v>1</v>
      </c>
      <c r="AF16" t="s">
        <v>16</v>
      </c>
    </row>
    <row r="17">
      <c r="C17" s="218">
        <f>EOMONTH(BASE!$A$27,0)</f>
      </c>
      <c r="D17">
        <f>VLOOKUP(MONTH(C17),$AE$16:$AF$27,2,0)</f>
      </c>
      <c r="E17">
        <f>YEAR(C17)</f>
      </c>
      <c r="F17" s="497">
        <f>EOMONTH(BASE!$A$27,0)</f>
      </c>
      <c r="G17">
        <f>IF(BASE!$B$27=1,H16,"")</f>
      </c>
      <c r="H17">
        <f>IF(AND(BASE!$B$27=1,ISNUMBER(BASE!$AE$27)),BASE!$AE$27,"")</f>
      </c>
      <c r="I17">
        <f>IF(BASE!$B$27=1,J16,"")</f>
      </c>
      <c r="J17">
        <f>IF(AND(BASE!$B$27=1,ISNUMBER(BASE!$AF$27)),BASE!$AF$27,"")</f>
      </c>
      <c r="K17" s="496"/>
      <c r="L17" s="66">
        <f>IF(AND(ISNUMBER(H17),ISNUMBER(G17)),H17-G17,"")</f>
      </c>
      <c r="M17" s="496">
        <f>IF(AND(ISNUMBER(J17),ISNUMBER(I17)),J17-I17,"")</f>
      </c>
      <c r="AE17">
        <f>1+AE16</f>
      </c>
      <c r="AF17" t="s">
        <v>33</v>
      </c>
    </row>
    <row r="18">
      <c r="C18" s="218">
        <f>EOMONTH(BASE!$A$28,0)</f>
      </c>
      <c r="D18">
        <f>VLOOKUP(MONTH(C18),$AE$16:$AF$27,2,0)</f>
      </c>
      <c r="E18">
        <f>YEAR(C18)</f>
      </c>
      <c r="F18" s="497">
        <f>EOMONTH(BASE!$A$28,0)</f>
      </c>
      <c r="G18">
        <f>IF(BASE!$B$28=1,H17,"")</f>
      </c>
      <c r="H18">
        <f>IF(AND(BASE!$B$28=1,ISNUMBER(BASE!$AE$28)),BASE!$AE$28,"")</f>
      </c>
      <c r="I18">
        <f>IF(BASE!$B$28=1,J17,"")</f>
      </c>
      <c r="J18">
        <f>IF(AND(BASE!$B$28=1,ISNUMBER(BASE!$AF$28)),BASE!$AF$28,"")</f>
      </c>
      <c r="K18" s="496"/>
      <c r="L18" s="66">
        <f>IF(AND(ISNUMBER(H18),ISNUMBER(G18)),H18-G18,"")</f>
      </c>
      <c r="M18" s="496">
        <f>IF(AND(ISNUMBER(J18),ISNUMBER(I18)),J18-I18,"")</f>
      </c>
      <c r="AE18">
        <f>1+AE17</f>
      </c>
      <c r="AF18" t="s">
        <v>17</v>
      </c>
    </row>
    <row r="19">
      <c r="C19" s="218">
        <f>EOMONTH(BASE!$A$29,0)</f>
      </c>
      <c r="D19">
        <f>VLOOKUP(MONTH(C19),$AE$16:$AF$27,2,0)</f>
      </c>
      <c r="E19">
        <f>YEAR(C19)</f>
      </c>
      <c r="F19" s="497">
        <f>EOMONTH(BASE!$A$29,0)</f>
      </c>
      <c r="G19">
        <f>IF(BASE!$B$29=1,H18,"")</f>
      </c>
      <c r="H19">
        <f>IF(AND(BASE!$B$29=1,ISNUMBER(BASE!$AE$29)),BASE!$AE$29,"")</f>
      </c>
      <c r="I19">
        <f>IF(BASE!$B$29=1,J18,"")</f>
      </c>
      <c r="J19">
        <f>IF(AND(BASE!$B$29=1,ISNUMBER(BASE!$AF$29)),BASE!$AF$29,"")</f>
      </c>
      <c r="K19" s="496"/>
      <c r="L19" s="66">
        <f>IF(AND(ISNUMBER(H19),ISNUMBER(G19)),H19-G19,"")</f>
      </c>
      <c r="M19" s="496">
        <f>IF(AND(ISNUMBER(J19),ISNUMBER(I19)),J19-I19,"")</f>
      </c>
      <c r="AE19">
        <f>1+AE18</f>
      </c>
      <c r="AF19" t="s">
        <v>32</v>
      </c>
    </row>
    <row r="20">
      <c r="C20" s="218">
        <f>EOMONTH(BASE!$A$30,0)</f>
      </c>
      <c r="D20">
        <f>VLOOKUP(MONTH(C20),$AE$16:$AF$27,2,0)</f>
      </c>
      <c r="E20">
        <f>YEAR(C20)</f>
      </c>
      <c r="F20" s="497">
        <f>EOMONTH(BASE!$A$30,0)</f>
      </c>
      <c r="G20">
        <f>IF(BASE!$B$30=1,H19,"")</f>
      </c>
      <c r="H20">
        <f>IF(AND(BASE!$B$30=1,ISNUMBER(BASE!$AE$30)),BASE!$AE$30,"")</f>
      </c>
      <c r="I20">
        <f>IF(BASE!$B$30=1,J19,"")</f>
      </c>
      <c r="J20">
        <f>IF(AND(BASE!$B$30=1,ISNUMBER(BASE!$AF$30)),BASE!$AF$30,"")</f>
      </c>
      <c r="K20" s="496"/>
      <c r="L20" s="66">
        <f>IF(AND(ISNUMBER(H20),ISNUMBER(G20)),H20-G20,"")</f>
      </c>
      <c r="M20" s="496">
        <f>IF(AND(ISNUMBER(J20),ISNUMBER(I20)),J20-I20,"")</f>
      </c>
      <c r="AE20">
        <f>1+AE19</f>
      </c>
      <c r="AF20" t="s">
        <v>31</v>
      </c>
    </row>
    <row r="21">
      <c r="C21" s="218">
        <f>EOMONTH(BASE!$A$31,0)</f>
      </c>
      <c r="D21">
        <f>VLOOKUP(MONTH(C21),$AE$16:$AF$27,2,0)</f>
      </c>
      <c r="E21">
        <f>YEAR(C21)</f>
      </c>
      <c r="F21" s="497">
        <f>EOMONTH(BASE!$A$31,0)</f>
      </c>
      <c r="G21">
        <f>IF(BASE!$B$31=1,H20,"")</f>
      </c>
      <c r="H21">
        <f>IF(AND(BASE!$B$31=1,ISNUMBER(BASE!$AE$31)),BASE!$AE$31,"")</f>
      </c>
      <c r="I21">
        <f>IF(BASE!$B$31=1,J20,"")</f>
      </c>
      <c r="J21">
        <f>IF(AND(BASE!$B$31=1,ISNUMBER(BASE!$AF$31)),BASE!$AF$31,"")</f>
      </c>
      <c r="K21" s="496"/>
      <c r="L21" s="66">
        <f>IF(AND(ISNUMBER(H21),ISNUMBER(G21)),H21-G21,"")</f>
      </c>
      <c r="M21" s="496">
        <f>IF(AND(ISNUMBER(J21),ISNUMBER(I21)),J21-I21,"")</f>
      </c>
      <c r="AE21">
        <f>1+AE20</f>
      </c>
      <c r="AF21" t="s">
        <v>18</v>
      </c>
    </row>
    <row r="22">
      <c r="C22" s="218">
        <f>EOMONTH(BASE!$A$32,0)</f>
      </c>
      <c r="D22">
        <f>VLOOKUP(MONTH(C22),$AE$16:$AF$27,2,0)</f>
      </c>
      <c r="E22">
        <f>YEAR(C22)</f>
      </c>
      <c r="F22" s="497">
        <f>EOMONTH(BASE!$A$32,0)</f>
      </c>
      <c r="G22">
        <f>IF(BASE!$B$32=1,H21,"")</f>
      </c>
      <c r="H22">
        <f>IF(AND(BASE!$B$32=1,ISNUMBER(BASE!$AE$32)),BASE!$AE$32,"")</f>
      </c>
      <c r="I22">
        <f>IF(BASE!$B$32=1,J21,"")</f>
      </c>
      <c r="J22">
        <f>IF(AND(BASE!$B$32=1,ISNUMBER(BASE!$AF$32)),BASE!$AF$32,"")</f>
      </c>
      <c r="K22" s="496"/>
      <c r="L22" s="66">
        <f>IF(AND(ISNUMBER(H22),ISNUMBER(G22)),H22-G22,"")</f>
      </c>
      <c r="M22" s="496">
        <f>IF(AND(ISNUMBER(J22),ISNUMBER(I22)),J22-I22,"")</f>
      </c>
      <c r="AE22">
        <f>1+AE21</f>
      </c>
      <c r="AF22" t="s">
        <v>19</v>
      </c>
    </row>
    <row r="23">
      <c r="C23" s="218">
        <f>EOMONTH(BASE!$A$33,0)</f>
      </c>
      <c r="D23">
        <f>VLOOKUP(MONTH(C23),$AE$16:$AF$27,2,0)</f>
      </c>
      <c r="E23">
        <f>YEAR(C23)</f>
      </c>
      <c r="F23" s="497">
        <f>EOMONTH(BASE!$A$33,0)</f>
      </c>
      <c r="G23">
        <f>IF(BASE!$B$33=1,H22,"")</f>
      </c>
      <c r="H23">
        <f>IF(AND(BASE!$B$33=1,ISNUMBER(BASE!$AE$33)),BASE!$AE$33,"")</f>
      </c>
      <c r="I23">
        <f>IF(BASE!$B$33=1,J22,"")</f>
      </c>
      <c r="J23">
        <f>IF(AND(BASE!$B$33=1,ISNUMBER(BASE!$AF$33)),BASE!$AF$33,"")</f>
      </c>
      <c r="K23" s="496"/>
      <c r="L23" s="66">
        <f>IF(AND(ISNUMBER(H23),ISNUMBER(G23)),H23-G23,"")</f>
      </c>
      <c r="M23" s="496">
        <f>IF(AND(ISNUMBER(J23),ISNUMBER(I23)),J23-I23,"")</f>
      </c>
      <c r="AE23">
        <f>1+AE22</f>
      </c>
      <c r="AF23" t="s">
        <v>30</v>
      </c>
    </row>
    <row r="24">
      <c r="C24" s="218">
        <f>EOMONTH(BASE!$A$34,0)</f>
      </c>
      <c r="D24">
        <f>VLOOKUP(MONTH(C24),$AE$16:$AF$27,2,0)</f>
      </c>
      <c r="E24">
        <f>YEAR(C24)</f>
      </c>
      <c r="F24" s="497">
        <f>EOMONTH(BASE!$A$34,0)</f>
      </c>
      <c r="G24">
        <f>IF(BASE!$B$34=1,H23,"")</f>
      </c>
      <c r="H24">
        <f>IF(AND(BASE!$B$34=1,ISNUMBER(BASE!$AE$34)),BASE!$AE$34,"")</f>
      </c>
      <c r="I24">
        <f>IF(BASE!$B$34=1,J23,"")</f>
      </c>
      <c r="J24">
        <f>IF(AND(BASE!$B$34=1,ISNUMBER(BASE!$AF$34)),BASE!$AF$34,"")</f>
      </c>
      <c r="K24" s="496"/>
      <c r="L24" s="66">
        <f>IF(AND(ISNUMBER(H24),ISNUMBER(G24)),H24-G24,"")</f>
      </c>
      <c r="M24" s="496">
        <f>IF(AND(ISNUMBER(J24),ISNUMBER(I24)),J24-I24,"")</f>
      </c>
      <c r="AE24">
        <f>1+AE23</f>
      </c>
      <c r="AF24" t="s">
        <v>29</v>
      </c>
    </row>
    <row r="25">
      <c r="C25" s="218">
        <f>EOMONTH(BASE!$A$35,0)</f>
      </c>
      <c r="D25">
        <f>VLOOKUP(MONTH(C25),$AE$16:$AF$27,2,0)</f>
      </c>
      <c r="E25">
        <f>YEAR(C25)</f>
      </c>
      <c r="F25" s="497">
        <f>EOMONTH(BASE!$A$35,0)</f>
      </c>
      <c r="G25">
        <f>IF(BASE!$B$35=1,H24,"")</f>
      </c>
      <c r="H25">
        <f>IF(AND(BASE!$B$35=1,ISNUMBER(BASE!$AE$35)),BASE!$AE$35,"")</f>
      </c>
      <c r="I25">
        <f>IF(BASE!$B$35=1,J24,"")</f>
      </c>
      <c r="J25">
        <f>IF(AND(BASE!$B$35=1,ISNUMBER(BASE!$AF$35)),BASE!$AF$35,"")</f>
      </c>
      <c r="K25" s="496"/>
      <c r="L25" s="66">
        <f>IF(AND(ISNUMBER(H25),ISNUMBER(G25)),H25-G25,"")</f>
      </c>
      <c r="M25" s="496">
        <f>IF(AND(ISNUMBER(J25),ISNUMBER(I25)),J25-I25,"")</f>
      </c>
      <c r="AE25">
        <f>1+AE24</f>
      </c>
      <c r="AF25" t="s">
        <v>28</v>
      </c>
    </row>
    <row r="26">
      <c r="C26" s="218">
        <f>EOMONTH(BASE!$A$36,0)</f>
      </c>
      <c r="D26">
        <f>VLOOKUP(MONTH(C26),$AE$16:$AF$27,2,0)</f>
      </c>
      <c r="E26">
        <f>YEAR(C26)</f>
      </c>
      <c r="F26" s="497">
        <f>EOMONTH(BASE!$A$36,0)</f>
      </c>
      <c r="G26">
        <f>IF(BASE!$B$36=1,H25,"")</f>
      </c>
      <c r="H26">
        <f>IF(AND(BASE!$B$36=1,ISNUMBER(BASE!$AE$36)),BASE!$AE$36,"")</f>
      </c>
      <c r="I26">
        <f>IF(BASE!$B$36=1,J25,"")</f>
      </c>
      <c r="J26">
        <f>IF(AND(BASE!$B$36=1,ISNUMBER(BASE!$AF$36)),BASE!$AF$36,"")</f>
      </c>
      <c r="K26" s="496"/>
      <c r="L26" s="66">
        <f>IF(AND(ISNUMBER(H26),ISNUMBER(G26)),H26-G26,"")</f>
      </c>
      <c r="M26" s="496">
        <f>IF(AND(ISNUMBER(J26),ISNUMBER(I26)),J26-I26,"")</f>
      </c>
      <c r="AE26">
        <f>1+AE25</f>
      </c>
      <c r="AF26" t="s">
        <v>20</v>
      </c>
    </row>
    <row r="27">
      <c r="C27" s="218">
        <f>EOMONTH(BASE!$A$37,0)</f>
      </c>
      <c r="D27">
        <f>VLOOKUP(MONTH(C27),$AE$16:$AF$27,2,0)</f>
      </c>
      <c r="E27">
        <f>YEAR(C27)</f>
      </c>
      <c r="F27" s="497">
        <f>EOMONTH(BASE!$A$37,0)</f>
      </c>
      <c r="G27">
        <f>IF(BASE!$B$37=1,H26,"")</f>
      </c>
      <c r="H27">
        <f>IF(AND(BASE!$B$37=1,ISNUMBER(BASE!$AE$37)),BASE!$AE$37,"")</f>
      </c>
      <c r="I27">
        <f>IF(BASE!$B$37=1,J26,"")</f>
      </c>
      <c r="J27">
        <f>IF(AND(BASE!$B$37=1,ISNUMBER(BASE!$AF$37)),BASE!$AF$37,"")</f>
      </c>
      <c r="K27" s="496"/>
      <c r="L27" s="66">
        <f>IF(AND(ISNUMBER(H27),ISNUMBER(G27)),H27-G27,"")</f>
      </c>
      <c r="M27" s="496">
        <f>IF(AND(ISNUMBER(J27),ISNUMBER(I27)),J27-I27,"")</f>
      </c>
      <c r="AE27">
        <f>1+AE26</f>
      </c>
      <c r="AF27" t="s">
        <v>27</v>
      </c>
    </row>
    <row r="28">
      <c r="C28" s="218">
        <f>EOMONTH(BASE!$A$38,0)</f>
      </c>
      <c r="D28">
        <f>VLOOKUP(MONTH(C28),$AE$16:$AF$27,2,0)</f>
      </c>
      <c r="E28">
        <f>YEAR(C28)</f>
      </c>
      <c r="F28" s="497">
        <f>EOMONTH(BASE!$A$38,0)</f>
      </c>
      <c r="G28">
        <f>IF(BASE!$B$38=1,H27,"")</f>
      </c>
      <c r="H28">
        <f>IF(AND(BASE!$B$38=1,ISNUMBER(BASE!$AE$38)),BASE!$AE$38,"")</f>
      </c>
      <c r="I28">
        <f>IF(BASE!$B$38=1,J27,"")</f>
      </c>
      <c r="J28">
        <f>IF(AND(BASE!$B$38=1,ISNUMBER(BASE!$AF$38)),BASE!$AF$38,"")</f>
      </c>
      <c r="K28" s="496"/>
      <c r="L28" s="66">
        <f>IF(AND(ISNUMBER(H28),ISNUMBER(G28)),H28-G28,"")</f>
      </c>
      <c r="M28" s="496">
        <f>IF(AND(ISNUMBER(J28),ISNUMBER(I28)),J28-I28,"")</f>
      </c>
    </row>
  </sheetData>
  <mergeCells count="2">
    <mergeCell ref="G2:H2"/>
    <mergeCell ref="I2:J2"/>
  </mergeCells>
  <pageMargins left="0.511811024" right="0.511811024" top="0.78740157499999996" bottom="0.78740157499999996" header="0.31496062000000002" footer="0.31496062000000002"/>
  <drawing r:id="rId1"/>
</worksheet>
</file>

<file path=xl/worksheets/sheetBase.xml><?xml version="1.0" encoding="utf-8"?>
<worksheet xmlns="http://schemas.openxmlformats.org/spreadsheetml/2006/main">
  <sheetData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marcos.galassi@vincula.com.br</dc:creator>
  <cp:lastModifiedBy>AviZee Equipamentos</cp:lastModifiedBy>
  <cp:lastPrinted>2023-06-28T14:31:50Z</cp:lastPrinted>
  <dcterms:created xsi:type="dcterms:W3CDTF">2022-05-31T16:45:11Z</dcterms:created>
  <dcterms:modified xsi:type="dcterms:W3CDTF">2026-04-13T23:17:37Z</dcterms:modified>
</cp:coreProperties>
</file>